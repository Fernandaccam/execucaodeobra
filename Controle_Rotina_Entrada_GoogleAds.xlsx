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shboard" sheetId="1" state="visible" r:id="rId1"/>
    <sheet name="Rotina Diária" sheetId="2" state="visible" r:id="rId2"/>
    <sheet name="Entrada de Leads" sheetId="3" state="visible" r:id="rId3"/>
    <sheet name="Campanhas Google Ads" sheetId="4" state="visible" r:id="rId4"/>
    <sheet name="Leia-m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6">
    <numFmt numFmtId="164" formatCode="DD/MM/YYYY"/>
    <numFmt numFmtId="165" formatCode="HH:MM"/>
    <numFmt numFmtId="166" formatCode="R$ #,##0"/>
    <numFmt numFmtId="167" formatCode="R$ #,##0.00"/>
    <numFmt numFmtId="168" formatCode="0.0%"/>
    <numFmt numFmtId="169" formatCode="yyyy-mm-dd"/>
  </numFmts>
  <fonts count="10">
    <font>
      <name val="Calibri"/>
      <family val="2"/>
      <color theme="1"/>
      <sz val="11"/>
      <scheme val="minor"/>
    </font>
    <font>
      <name val="Arial"/>
      <b val="1"/>
      <color rgb="001C4E80"/>
      <sz val="16"/>
    </font>
    <font>
      <name val="Arial"/>
      <i val="1"/>
      <color rgb="00666666"/>
      <sz val="10"/>
    </font>
    <font>
      <name val="Arial"/>
      <b val="1"/>
      <sz val="10"/>
    </font>
    <font>
      <name val="Arial"/>
      <sz val="10"/>
    </font>
    <font>
      <name val="Arial"/>
      <b val="1"/>
      <color rgb="00FFFFFF"/>
      <sz val="11"/>
    </font>
    <font>
      <name val="Arial"/>
      <i val="1"/>
      <color rgb="00808080"/>
      <sz val="10"/>
    </font>
    <font>
      <name val="Arial"/>
      <color rgb="00666666"/>
      <sz val="10"/>
    </font>
    <font>
      <name val="Arial"/>
      <b val="1"/>
      <color rgb="001C4E80"/>
      <sz val="18"/>
    </font>
    <font>
      <name val="Arial"/>
      <b val="1"/>
      <color rgb="001C4E80"/>
      <sz val="11"/>
    </font>
  </fonts>
  <fills count="5">
    <fill>
      <patternFill/>
    </fill>
    <fill>
      <patternFill patternType="gray125"/>
    </fill>
    <fill>
      <patternFill patternType="solid">
        <fgColor rgb="001C4E80"/>
      </patternFill>
    </fill>
    <fill>
      <patternFill patternType="solid">
        <fgColor rgb="00FFF2CC"/>
      </patternFill>
    </fill>
    <fill>
      <patternFill patternType="solid">
        <fgColor rgb="00D9E2F3"/>
      </patternFill>
    </fill>
  </fills>
  <borders count="2">
    <border>
      <left/>
      <right/>
      <top/>
      <bottom/>
      <diagonal/>
    </border>
    <border>
      <left style="thin">
        <color rgb="00B7C6E5"/>
      </left>
      <right style="thin">
        <color rgb="00B7C6E5"/>
      </right>
      <top style="thin">
        <color rgb="00B7C6E5"/>
      </top>
      <bottom style="thin">
        <color rgb="00B7C6E5"/>
      </bottom>
    </border>
  </borders>
  <cellStyleXfs count="1">
    <xf numFmtId="0" fontId="0" fillId="0" borderId="0"/>
  </cellStyleXfs>
  <cellXfs count="4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164" fontId="0" fillId="3" borderId="1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  <xf numFmtId="0" fontId="7" fillId="0" borderId="0" applyAlignment="1" pivotButton="0" quotePrefix="0" xfId="0">
      <alignment horizontal="left"/>
    </xf>
    <xf numFmtId="3" fontId="8" fillId="0" borderId="0" applyAlignment="1" pivotButton="0" quotePrefix="0" xfId="0">
      <alignment horizontal="left"/>
    </xf>
    <xf numFmtId="168" fontId="8" fillId="0" borderId="0" applyAlignment="1" pivotButton="0" quotePrefix="0" xfId="0">
      <alignment horizontal="left"/>
    </xf>
    <xf numFmtId="166" fontId="8" fillId="0" borderId="0" applyAlignment="1" pivotButton="0" quotePrefix="0" xfId="0">
      <alignment horizontal="left"/>
    </xf>
    <xf numFmtId="0" fontId="9" fillId="4" borderId="0" pivotButton="0" quotePrefix="0" xfId="0"/>
    <xf numFmtId="0" fontId="5" fillId="2" borderId="0" pivotButton="0" quotePrefix="0" xfId="0"/>
    <xf numFmtId="0" fontId="4" fillId="0" borderId="1" pivotButton="0" quotePrefix="0" xfId="0"/>
    <xf numFmtId="0" fontId="0" fillId="0" borderId="1" pivotButton="0" quotePrefix="0" xfId="0"/>
    <xf numFmtId="0" fontId="5" fillId="2" borderId="1" applyAlignment="1" pivotButton="0" quotePrefix="0" xfId="0">
      <alignment horizontal="center" vertical="center" wrapText="1"/>
    </xf>
    <xf numFmtId="164" fontId="6" fillId="0" borderId="1" applyAlignment="1" pivotButton="0" quotePrefix="0" xfId="0">
      <alignment horizontal="center"/>
    </xf>
    <xf numFmtId="0" fontId="6" fillId="0" borderId="1" applyAlignment="1" pivotButton="0" quotePrefix="0" xfId="0">
      <alignment horizontal="center"/>
    </xf>
    <xf numFmtId="164" fontId="4" fillId="3" borderId="1" applyAlignment="1" pivotButton="0" quotePrefix="0" xfId="0">
      <alignment horizontal="center"/>
    </xf>
    <xf numFmtId="0" fontId="4" fillId="3" borderId="1" applyAlignment="1" pivotButton="0" quotePrefix="0" xfId="0">
      <alignment horizontal="center"/>
    </xf>
    <xf numFmtId="164" fontId="6" fillId="0" borderId="1" pivotButton="0" quotePrefix="0" xfId="0"/>
    <xf numFmtId="165" fontId="6" fillId="0" borderId="1" pivotButton="0" quotePrefix="0" xfId="0"/>
    <xf numFmtId="0" fontId="6" fillId="0" borderId="1" pivotButton="0" quotePrefix="0" xfId="0"/>
    <xf numFmtId="166" fontId="6" fillId="0" borderId="1" pivotButton="0" quotePrefix="0" xfId="0"/>
    <xf numFmtId="164" fontId="4" fillId="3" borderId="1" pivotButton="0" quotePrefix="0" xfId="0"/>
    <xf numFmtId="165" fontId="4" fillId="3" borderId="1" pivotButton="0" quotePrefix="0" xfId="0"/>
    <xf numFmtId="0" fontId="4" fillId="3" borderId="1" pivotButton="0" quotePrefix="0" xfId="0"/>
    <xf numFmtId="166" fontId="4" fillId="3" borderId="1" pivotButton="0" quotePrefix="0" xfId="0"/>
    <xf numFmtId="3" fontId="6" fillId="0" borderId="1" pivotButton="0" quotePrefix="0" xfId="0"/>
    <xf numFmtId="10" fontId="6" fillId="0" borderId="1" pivotButton="0" quotePrefix="0" xfId="0"/>
    <xf numFmtId="167" fontId="6" fillId="0" borderId="1" pivotButton="0" quotePrefix="0" xfId="0"/>
    <xf numFmtId="168" fontId="6" fillId="0" borderId="1" pivotButton="0" quotePrefix="0" xfId="0"/>
    <xf numFmtId="0" fontId="0" fillId="3" borderId="1" pivotButton="0" quotePrefix="0" xfId="0"/>
    <xf numFmtId="164" fontId="0" fillId="3" borderId="1" pivotButton="0" quotePrefix="0" xfId="0"/>
    <xf numFmtId="166" fontId="0" fillId="3" borderId="1" pivotButton="0" quotePrefix="0" xfId="0"/>
    <xf numFmtId="3" fontId="0" fillId="3" borderId="1" pivotButton="0" quotePrefix="0" xfId="0"/>
    <xf numFmtId="10" fontId="0" fillId="0" borderId="1" pivotButton="0" quotePrefix="0" xfId="0"/>
    <xf numFmtId="167" fontId="0" fillId="0" borderId="1" pivotButton="0" quotePrefix="0" xfId="0"/>
    <xf numFmtId="166" fontId="0" fillId="0" borderId="1" pivotButton="0" quotePrefix="0" xfId="0"/>
    <xf numFmtId="168" fontId="0" fillId="0" borderId="1" pivotButton="0" quotePrefix="0" xfId="0"/>
    <xf numFmtId="0" fontId="4" fillId="0" borderId="0" applyAlignment="1" pivotButton="0" quotePrefix="0" xfId="0">
      <alignment vertical="top" wrapText="1"/>
    </xf>
  </cellXfs>
  <cellStyles count="1">
    <cellStyle name="Normal" xfId="0" builtinId="0" hidden="0"/>
  </cellStyles>
  <dxfs count="7">
    <dxf>
      <fill>
        <patternFill patternType="solid">
          <fgColor rgb="00A9D18E"/>
        </patternFill>
      </fill>
    </dxf>
    <dxf>
      <fill>
        <patternFill patternType="solid">
          <fgColor rgb="00F4A6A6"/>
        </patternFill>
      </fill>
    </dxf>
    <dxf>
      <fill>
        <patternFill patternType="solid">
          <fgColor rgb="00D9D9D9"/>
        </patternFill>
      </fill>
    </dxf>
    <dxf>
      <fill>
        <patternFill patternType="solid">
          <fgColor rgb="00BDD7EE"/>
        </patternFill>
      </fill>
    </dxf>
    <dxf>
      <fill>
        <patternFill patternType="solid">
          <fgColor rgb="00FFE699"/>
        </patternFill>
      </fill>
    </dxf>
    <dxf>
      <fill>
        <patternFill patternType="solid">
          <fgColor rgb="00C6E0B4"/>
        </patternFill>
      </fill>
    </dxf>
    <dxf>
      <fill>
        <patternFill patternType="solid">
          <fgColor rgb="00F8CBAD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Funil de Status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'Dashboard'!B19</f>
            </strRef>
          </tx>
          <spPr>
            <a:ln>
              <a:prstDash val="solid"/>
            </a:ln>
          </spPr>
          <cat>
            <numRef>
              <f>'Dashboard'!$A$20:$A$25</f>
            </numRef>
          </cat>
          <val>
            <numRef>
              <f>'Dashboard'!$B$20:$B$25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Leads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3</col>
      <colOff>0</colOff>
      <row>18</row>
      <rowOff>0</rowOff>
    </from>
    <ext cx="576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5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3" customWidth="1" min="3" max="3"/>
    <col width="22" customWidth="1" min="4" max="4"/>
    <col width="16" customWidth="1" min="5" max="5"/>
    <col width="3" customWidth="1" min="6" max="6"/>
    <col width="22" customWidth="1" min="7" max="7"/>
    <col width="16" customWidth="1" min="8" max="8"/>
  </cols>
  <sheetData>
    <row r="1" ht="26" customHeight="1">
      <c r="A1" s="1" t="inlineStr">
        <is>
          <t>Dashboard — Entrada Digital (Google Ads)</t>
        </is>
      </c>
    </row>
    <row r="2" ht="16" customHeight="1">
      <c r="A2" s="2" t="inlineStr">
        <is>
          <t>Indicadores do período selecionado</t>
        </is>
      </c>
    </row>
    <row r="4">
      <c r="A4" s="3" t="inlineStr">
        <is>
          <t>Período - Data Início</t>
        </is>
      </c>
      <c r="B4" s="4" t="n">
        <v>46266</v>
      </c>
    </row>
    <row r="5">
      <c r="A5" s="3" t="inlineStr">
        <is>
          <t>Período - Data Fim</t>
        </is>
      </c>
      <c r="B5" s="4" t="n">
        <v>46295</v>
      </c>
    </row>
    <row r="6">
      <c r="A6" s="3" t="inlineStr">
        <is>
          <t>Meta de SLA (minutos)</t>
        </is>
      </c>
      <c r="B6" s="5" t="n">
        <v>30</v>
      </c>
    </row>
    <row r="9">
      <c r="A9" s="6" t="inlineStr">
        <is>
          <t>Total de Leads no Período</t>
        </is>
      </c>
      <c r="D9" s="6" t="inlineStr">
        <is>
          <t>Leads Dentro do SLA</t>
        </is>
      </c>
      <c r="G9" s="6" t="inlineStr">
        <is>
          <t>% Cumprimento de SLA</t>
        </is>
      </c>
    </row>
    <row r="10">
      <c r="A10" s="7">
        <f>COUNTIFS('Entrada de Leads'!$A$2:$A$400,"&gt;="&amp;$B$4,'Entrada de Leads'!$A$2:$A$400,"&lt;="&amp;$B$5)</f>
        <v/>
      </c>
      <c r="D10" s="7">
        <f>COUNTIFS('Entrada de Leads'!$A$2:$A$400,"&gt;="&amp;$B$4,'Entrada de Leads'!$A$2:$A$400,"&lt;="&amp;$B$5,'Entrada de Leads'!$I$2:$I$400,"Sim")</f>
        <v/>
      </c>
      <c r="G10" s="8">
        <f>IF(COUNTIFS('Entrada de Leads'!$A$2:$A$400,"&gt;="&amp;$B$4,'Entrada de Leads'!$A$2:$A$400,"&lt;="&amp;$B$5)=0,0,COUNTIFS('Entrada de Leads'!$A$2:$A$400,"&gt;="&amp;$B$4,'Entrada de Leads'!$A$2:$A$400,"&lt;="&amp;$B$5,'Entrada de Leads'!$I$2:$I$400,"Sim")/(COUNTIFS('Entrada de Leads'!$A$2:$A$400,"&gt;="&amp;$B$4,'Entrada de Leads'!$A$2:$A$400,"&lt;="&amp;$B$5)))</f>
        <v/>
      </c>
    </row>
    <row r="12">
      <c r="A12" s="6" t="inlineStr">
        <is>
          <t>Leads Convertidos</t>
        </is>
      </c>
      <c r="D12" s="6" t="inlineStr">
        <is>
          <t>Taxa de Conversão</t>
        </is>
      </c>
      <c r="G12" s="6" t="inlineStr">
        <is>
          <t>Investimento Total (R$)</t>
        </is>
      </c>
    </row>
    <row r="13">
      <c r="A13" s="7">
        <f>COUNTIFS('Entrada de Leads'!$A$2:$A$400,"&gt;="&amp;$B$4,'Entrada de Leads'!$A$2:$A$400,"&lt;="&amp;$B$5,'Entrada de Leads'!$J$2:$J$400,"Convertido")</f>
        <v/>
      </c>
      <c r="D13" s="8">
        <f>IF(COUNTIFS('Entrada de Leads'!$A$2:$A$400,"&gt;="&amp;$B$4,'Entrada de Leads'!$A$2:$A$400,"&lt;="&amp;$B$5)=0,0,COUNTIFS('Entrada de Leads'!$A$2:$A$400,"&gt;="&amp;$B$4,'Entrada de Leads'!$A$2:$A$400,"&lt;="&amp;$B$5,'Entrada de Leads'!$J$2:$J$400,"Convertido")/(COUNTIFS('Entrada de Leads'!$A$2:$A$400,"&gt;="&amp;$B$4,'Entrada de Leads'!$A$2:$A$400,"&lt;="&amp;$B$5)))</f>
        <v/>
      </c>
      <c r="G13" s="9">
        <f>SUM('Campanhas Google Ads'!$E$2:$E$60)</f>
        <v/>
      </c>
    </row>
    <row r="15">
      <c r="A15" s="6" t="inlineStr">
        <is>
          <t>Custo por Lead Médio (R$)</t>
        </is>
      </c>
    </row>
    <row r="16">
      <c r="A16" s="9">
        <f>IF(SUM('Campanhas Google Ads'!$J$2:$J$60)=0,0,SUM('Campanhas Google Ads'!$E$2:$E$60)/SUM('Campanhas Google Ads'!$J$2:$J$60))</f>
        <v/>
      </c>
    </row>
    <row r="18">
      <c r="A18" s="10" t="inlineStr">
        <is>
          <t>Funil de Status (período selecionado)</t>
        </is>
      </c>
    </row>
    <row r="19">
      <c r="A19" s="11" t="inlineStr">
        <is>
          <t>Status</t>
        </is>
      </c>
      <c r="B19" s="11" t="inlineStr">
        <is>
          <t>Quantidade</t>
        </is>
      </c>
    </row>
    <row r="20">
      <c r="A20" s="12" t="inlineStr">
        <is>
          <t>Novo</t>
        </is>
      </c>
      <c r="B20" s="13">
        <f>COUNTIFS('Entrada de Leads'!$A$2:$A$400,"&gt;="&amp;$B$4,'Entrada de Leads'!$A$2:$A$400,"&lt;="&amp;$B$5,'Entrada de Leads'!$J$2:$J$400,"Novo")</f>
        <v/>
      </c>
    </row>
    <row r="21">
      <c r="A21" s="12" t="inlineStr">
        <is>
          <t>Em contato</t>
        </is>
      </c>
      <c r="B21" s="13">
        <f>COUNTIFS('Entrada de Leads'!$A$2:$A$400,"&gt;="&amp;$B$4,'Entrada de Leads'!$A$2:$A$400,"&lt;="&amp;$B$5,'Entrada de Leads'!$J$2:$J$400,"Em contato")</f>
        <v/>
      </c>
    </row>
    <row r="22">
      <c r="A22" s="12" t="inlineStr">
        <is>
          <t>Qualificado</t>
        </is>
      </c>
      <c r="B22" s="13">
        <f>COUNTIFS('Entrada de Leads'!$A$2:$A$400,"&gt;="&amp;$B$4,'Entrada de Leads'!$A$2:$A$400,"&lt;="&amp;$B$5,'Entrada de Leads'!$J$2:$J$400,"Qualificado")</f>
        <v/>
      </c>
    </row>
    <row r="23">
      <c r="A23" s="12" t="inlineStr">
        <is>
          <t>Proposta enviada</t>
        </is>
      </c>
      <c r="B23" s="13">
        <f>COUNTIFS('Entrada de Leads'!$A$2:$A$400,"&gt;="&amp;$B$4,'Entrada de Leads'!$A$2:$A$400,"&lt;="&amp;$B$5,'Entrada de Leads'!$J$2:$J$400,"Proposta enviada")</f>
        <v/>
      </c>
    </row>
    <row r="24">
      <c r="A24" s="12" t="inlineStr">
        <is>
          <t>Convertido</t>
        </is>
      </c>
      <c r="B24" s="13">
        <f>COUNTIFS('Entrada de Leads'!$A$2:$A$400,"&gt;="&amp;$B$4,'Entrada de Leads'!$A$2:$A$400,"&lt;="&amp;$B$5,'Entrada de Leads'!$J$2:$J$400,"Convertido")</f>
        <v/>
      </c>
    </row>
    <row r="25">
      <c r="A25" s="12" t="inlineStr">
        <is>
          <t>Perdido</t>
        </is>
      </c>
      <c r="B25" s="13">
        <f>COUNTIFS('Entrada de Leads'!$A$2:$A$400,"&gt;="&amp;$B$4,'Entrada de Leads'!$A$2:$A$400,"&lt;="&amp;$B$5,'Entrada de Leads'!$J$2:$J$400,"Perdido")</f>
        <v/>
      </c>
    </row>
  </sheetData>
  <mergeCells count="17">
    <mergeCell ref="A18:H18"/>
    <mergeCell ref="G12:H12"/>
    <mergeCell ref="A16:B16"/>
    <mergeCell ref="D10:E10"/>
    <mergeCell ref="A15:B15"/>
    <mergeCell ref="D13:E13"/>
    <mergeCell ref="A2:H2"/>
    <mergeCell ref="G10:H10"/>
    <mergeCell ref="A10:B10"/>
    <mergeCell ref="A13:B13"/>
    <mergeCell ref="A1:H1"/>
    <mergeCell ref="A9:B9"/>
    <mergeCell ref="G9:H9"/>
    <mergeCell ref="D9:E9"/>
    <mergeCell ref="G13:H13"/>
    <mergeCell ref="D12:E12"/>
    <mergeCell ref="A12:B12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0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16" customWidth="1" min="8" max="8"/>
    <col width="26" customWidth="1" min="9" max="9"/>
  </cols>
  <sheetData>
    <row r="1">
      <c r="A1" s="14" t="inlineStr">
        <is>
          <t>Data</t>
        </is>
      </c>
      <c r="B1" s="14" t="inlineStr">
        <is>
          <t>Conferir novos leads no Google Ads / CRM</t>
        </is>
      </c>
      <c r="C1" s="14" t="inlineStr">
        <is>
          <t>Responder leads novos dentro do SLA</t>
        </is>
      </c>
      <c r="D1" s="14" t="inlineStr">
        <is>
          <t>Atualizar status de cada lead no funil</t>
        </is>
      </c>
      <c r="E1" s="14" t="inlineStr">
        <is>
          <t>Registrar investimento diário das campanhas</t>
        </is>
      </c>
      <c r="F1" s="14" t="inlineStr">
        <is>
          <t>Revisar campanhas com CPA/CPL acima da meta</t>
        </is>
      </c>
      <c r="G1" s="14" t="inlineStr">
        <is>
          <t>Enviar relatório diário para a equipe</t>
        </is>
      </c>
      <c r="H1" s="14" t="inlineStr">
        <is>
          <t>Responsável</t>
        </is>
      </c>
      <c r="I1" s="14" t="inlineStr">
        <is>
          <t>Observações</t>
        </is>
      </c>
    </row>
    <row r="2">
      <c r="A2" s="15" t="n">
        <v>46266</v>
      </c>
      <c r="B2" s="16" t="inlineStr">
        <is>
          <t>Feito</t>
        </is>
      </c>
      <c r="C2" s="16" t="inlineStr">
        <is>
          <t>Feito</t>
        </is>
      </c>
      <c r="D2" s="16" t="inlineStr">
        <is>
          <t>Feito</t>
        </is>
      </c>
      <c r="E2" s="16" t="inlineStr">
        <is>
          <t>Feito</t>
        </is>
      </c>
      <c r="F2" s="16" t="inlineStr">
        <is>
          <t>Pendente</t>
        </is>
      </c>
      <c r="G2" s="16" t="inlineStr">
        <is>
          <t>Feito</t>
        </is>
      </c>
      <c r="H2" s="16" t="inlineStr">
        <is>
          <t>Fernanda</t>
        </is>
      </c>
      <c r="I2" s="16" t="inlineStr"/>
    </row>
    <row r="3">
      <c r="A3" s="15" t="n">
        <v>46267</v>
      </c>
      <c r="B3" s="16" t="inlineStr">
        <is>
          <t>Feito</t>
        </is>
      </c>
      <c r="C3" s="16" t="inlineStr">
        <is>
          <t>Feito</t>
        </is>
      </c>
      <c r="D3" s="16" t="inlineStr">
        <is>
          <t>Feito</t>
        </is>
      </c>
      <c r="E3" s="16" t="inlineStr">
        <is>
          <t>Feito</t>
        </is>
      </c>
      <c r="F3" s="16" t="inlineStr">
        <is>
          <t>Feito</t>
        </is>
      </c>
      <c r="G3" s="16" t="inlineStr">
        <is>
          <t>Feito</t>
        </is>
      </c>
      <c r="H3" s="16" t="inlineStr">
        <is>
          <t>Equipe Comercial</t>
        </is>
      </c>
      <c r="I3" s="16" t="inlineStr"/>
    </row>
    <row r="4">
      <c r="A4" s="15" t="n">
        <v>46268</v>
      </c>
      <c r="B4" s="16" t="inlineStr">
        <is>
          <t>Feito</t>
        </is>
      </c>
      <c r="C4" s="16" t="inlineStr">
        <is>
          <t>Pendente</t>
        </is>
      </c>
      <c r="D4" s="16" t="inlineStr">
        <is>
          <t>Feito</t>
        </is>
      </c>
      <c r="E4" s="16" t="inlineStr">
        <is>
          <t>Feito</t>
        </is>
      </c>
      <c r="F4" s="16" t="inlineStr">
        <is>
          <t>N/A</t>
        </is>
      </c>
      <c r="G4" s="16" t="inlineStr">
        <is>
          <t>Pendente</t>
        </is>
      </c>
      <c r="H4" s="16" t="inlineStr">
        <is>
          <t>Fernanda</t>
        </is>
      </c>
      <c r="I4" s="16" t="inlineStr"/>
    </row>
    <row r="5">
      <c r="A5" s="15" t="n">
        <v>46269</v>
      </c>
      <c r="B5" s="16" t="inlineStr">
        <is>
          <t>Feito</t>
        </is>
      </c>
      <c r="C5" s="16" t="inlineStr">
        <is>
          <t>Feito</t>
        </is>
      </c>
      <c r="D5" s="16" t="inlineStr">
        <is>
          <t>Feito</t>
        </is>
      </c>
      <c r="E5" s="16" t="inlineStr">
        <is>
          <t>Pendente</t>
        </is>
      </c>
      <c r="F5" s="16" t="inlineStr">
        <is>
          <t>Feito</t>
        </is>
      </c>
      <c r="G5" s="16" t="inlineStr">
        <is>
          <t>Feito</t>
        </is>
      </c>
      <c r="H5" s="16" t="inlineStr">
        <is>
          <t>Fernanda</t>
        </is>
      </c>
      <c r="I5" s="16" t="inlineStr"/>
    </row>
    <row r="6">
      <c r="A6" s="15" t="n">
        <v>46270</v>
      </c>
      <c r="B6" s="16" t="inlineStr">
        <is>
          <t>Feito</t>
        </is>
      </c>
      <c r="C6" s="16" t="inlineStr">
        <is>
          <t>Feito</t>
        </is>
      </c>
      <c r="D6" s="16" t="inlineStr">
        <is>
          <t>Pendente</t>
        </is>
      </c>
      <c r="E6" s="16" t="inlineStr">
        <is>
          <t>Feito</t>
        </is>
      </c>
      <c r="F6" s="16" t="inlineStr">
        <is>
          <t>Feito</t>
        </is>
      </c>
      <c r="G6" s="16" t="inlineStr">
        <is>
          <t>Feito</t>
        </is>
      </c>
      <c r="H6" s="16" t="inlineStr">
        <is>
          <t>Equipe Comercial</t>
        </is>
      </c>
      <c r="I6" s="16" t="inlineStr"/>
    </row>
    <row r="7">
      <c r="A7" s="17" t="n"/>
      <c r="B7" s="18" t="n"/>
      <c r="C7" s="18" t="n"/>
      <c r="D7" s="18" t="n"/>
      <c r="E7" s="18" t="n"/>
      <c r="F7" s="18" t="n"/>
      <c r="G7" s="18" t="n"/>
      <c r="H7" s="18" t="n"/>
      <c r="I7" s="18" t="n"/>
    </row>
    <row r="8">
      <c r="A8" s="17" t="n"/>
      <c r="B8" s="18" t="n"/>
      <c r="C8" s="18" t="n"/>
      <c r="D8" s="18" t="n"/>
      <c r="E8" s="18" t="n"/>
      <c r="F8" s="18" t="n"/>
      <c r="G8" s="18" t="n"/>
      <c r="H8" s="18" t="n"/>
      <c r="I8" s="18" t="n"/>
    </row>
    <row r="9">
      <c r="A9" s="17" t="n"/>
      <c r="B9" s="18" t="n"/>
      <c r="C9" s="18" t="n"/>
      <c r="D9" s="18" t="n"/>
      <c r="E9" s="18" t="n"/>
      <c r="F9" s="18" t="n"/>
      <c r="G9" s="18" t="n"/>
      <c r="H9" s="18" t="n"/>
      <c r="I9" s="18" t="n"/>
    </row>
    <row r="10">
      <c r="A10" s="17" t="n"/>
      <c r="B10" s="18" t="n"/>
      <c r="C10" s="18" t="n"/>
      <c r="D10" s="18" t="n"/>
      <c r="E10" s="18" t="n"/>
      <c r="F10" s="18" t="n"/>
      <c r="G10" s="18" t="n"/>
      <c r="H10" s="18" t="n"/>
      <c r="I10" s="18" t="n"/>
    </row>
    <row r="11">
      <c r="A11" s="17" t="n"/>
      <c r="B11" s="18" t="n"/>
      <c r="C11" s="18" t="n"/>
      <c r="D11" s="18" t="n"/>
      <c r="E11" s="18" t="n"/>
      <c r="F11" s="18" t="n"/>
      <c r="G11" s="18" t="n"/>
      <c r="H11" s="18" t="n"/>
      <c r="I11" s="18" t="n"/>
    </row>
    <row r="12">
      <c r="A12" s="17" t="n"/>
      <c r="B12" s="18" t="n"/>
      <c r="C12" s="18" t="n"/>
      <c r="D12" s="18" t="n"/>
      <c r="E12" s="18" t="n"/>
      <c r="F12" s="18" t="n"/>
      <c r="G12" s="18" t="n"/>
      <c r="H12" s="18" t="n"/>
      <c r="I12" s="18" t="n"/>
    </row>
    <row r="13">
      <c r="A13" s="17" t="n"/>
      <c r="B13" s="18" t="n"/>
      <c r="C13" s="18" t="n"/>
      <c r="D13" s="18" t="n"/>
      <c r="E13" s="18" t="n"/>
      <c r="F13" s="18" t="n"/>
      <c r="G13" s="18" t="n"/>
      <c r="H13" s="18" t="n"/>
      <c r="I13" s="18" t="n"/>
    </row>
    <row r="14">
      <c r="A14" s="17" t="n"/>
      <c r="B14" s="18" t="n"/>
      <c r="C14" s="18" t="n"/>
      <c r="D14" s="18" t="n"/>
      <c r="E14" s="18" t="n"/>
      <c r="F14" s="18" t="n"/>
      <c r="G14" s="18" t="n"/>
      <c r="H14" s="18" t="n"/>
      <c r="I14" s="18" t="n"/>
    </row>
    <row r="15">
      <c r="A15" s="17" t="n"/>
      <c r="B15" s="18" t="n"/>
      <c r="C15" s="18" t="n"/>
      <c r="D15" s="18" t="n"/>
      <c r="E15" s="18" t="n"/>
      <c r="F15" s="18" t="n"/>
      <c r="G15" s="18" t="n"/>
      <c r="H15" s="18" t="n"/>
      <c r="I15" s="18" t="n"/>
    </row>
    <row r="16">
      <c r="A16" s="17" t="n"/>
      <c r="B16" s="18" t="n"/>
      <c r="C16" s="18" t="n"/>
      <c r="D16" s="18" t="n"/>
      <c r="E16" s="18" t="n"/>
      <c r="F16" s="18" t="n"/>
      <c r="G16" s="18" t="n"/>
      <c r="H16" s="18" t="n"/>
      <c r="I16" s="18" t="n"/>
    </row>
    <row r="17">
      <c r="A17" s="17" t="n"/>
      <c r="B17" s="18" t="n"/>
      <c r="C17" s="18" t="n"/>
      <c r="D17" s="18" t="n"/>
      <c r="E17" s="18" t="n"/>
      <c r="F17" s="18" t="n"/>
      <c r="G17" s="18" t="n"/>
      <c r="H17" s="18" t="n"/>
      <c r="I17" s="18" t="n"/>
    </row>
    <row r="18">
      <c r="A18" s="17" t="n"/>
      <c r="B18" s="18" t="n"/>
      <c r="C18" s="18" t="n"/>
      <c r="D18" s="18" t="n"/>
      <c r="E18" s="18" t="n"/>
      <c r="F18" s="18" t="n"/>
      <c r="G18" s="18" t="n"/>
      <c r="H18" s="18" t="n"/>
      <c r="I18" s="18" t="n"/>
    </row>
    <row r="19">
      <c r="A19" s="17" t="n"/>
      <c r="B19" s="18" t="n"/>
      <c r="C19" s="18" t="n"/>
      <c r="D19" s="18" t="n"/>
      <c r="E19" s="18" t="n"/>
      <c r="F19" s="18" t="n"/>
      <c r="G19" s="18" t="n"/>
      <c r="H19" s="18" t="n"/>
      <c r="I19" s="18" t="n"/>
    </row>
    <row r="20">
      <c r="A20" s="17" t="n"/>
      <c r="B20" s="18" t="n"/>
      <c r="C20" s="18" t="n"/>
      <c r="D20" s="18" t="n"/>
      <c r="E20" s="18" t="n"/>
      <c r="F20" s="18" t="n"/>
      <c r="G20" s="18" t="n"/>
      <c r="H20" s="18" t="n"/>
      <c r="I20" s="18" t="n"/>
    </row>
    <row r="21">
      <c r="A21" s="17" t="n"/>
      <c r="B21" s="18" t="n"/>
      <c r="C21" s="18" t="n"/>
      <c r="D21" s="18" t="n"/>
      <c r="E21" s="18" t="n"/>
      <c r="F21" s="18" t="n"/>
      <c r="G21" s="18" t="n"/>
      <c r="H21" s="18" t="n"/>
      <c r="I21" s="18" t="n"/>
    </row>
    <row r="22">
      <c r="A22" s="17" t="n"/>
      <c r="B22" s="18" t="n"/>
      <c r="C22" s="18" t="n"/>
      <c r="D22" s="18" t="n"/>
      <c r="E22" s="18" t="n"/>
      <c r="F22" s="18" t="n"/>
      <c r="G22" s="18" t="n"/>
      <c r="H22" s="18" t="n"/>
      <c r="I22" s="18" t="n"/>
    </row>
    <row r="23">
      <c r="A23" s="17" t="n"/>
      <c r="B23" s="18" t="n"/>
      <c r="C23" s="18" t="n"/>
      <c r="D23" s="18" t="n"/>
      <c r="E23" s="18" t="n"/>
      <c r="F23" s="18" t="n"/>
      <c r="G23" s="18" t="n"/>
      <c r="H23" s="18" t="n"/>
      <c r="I23" s="18" t="n"/>
    </row>
    <row r="24">
      <c r="A24" s="17" t="n"/>
      <c r="B24" s="18" t="n"/>
      <c r="C24" s="18" t="n"/>
      <c r="D24" s="18" t="n"/>
      <c r="E24" s="18" t="n"/>
      <c r="F24" s="18" t="n"/>
      <c r="G24" s="18" t="n"/>
      <c r="H24" s="18" t="n"/>
      <c r="I24" s="18" t="n"/>
    </row>
    <row r="25">
      <c r="A25" s="17" t="n"/>
      <c r="B25" s="18" t="n"/>
      <c r="C25" s="18" t="n"/>
      <c r="D25" s="18" t="n"/>
      <c r="E25" s="18" t="n"/>
      <c r="F25" s="18" t="n"/>
      <c r="G25" s="18" t="n"/>
      <c r="H25" s="18" t="n"/>
      <c r="I25" s="18" t="n"/>
    </row>
    <row r="26">
      <c r="A26" s="17" t="n"/>
      <c r="B26" s="18" t="n"/>
      <c r="C26" s="18" t="n"/>
      <c r="D26" s="18" t="n"/>
      <c r="E26" s="18" t="n"/>
      <c r="F26" s="18" t="n"/>
      <c r="G26" s="18" t="n"/>
      <c r="H26" s="18" t="n"/>
      <c r="I26" s="18" t="n"/>
    </row>
    <row r="27">
      <c r="A27" s="17" t="n"/>
      <c r="B27" s="18" t="n"/>
      <c r="C27" s="18" t="n"/>
      <c r="D27" s="18" t="n"/>
      <c r="E27" s="18" t="n"/>
      <c r="F27" s="18" t="n"/>
      <c r="G27" s="18" t="n"/>
      <c r="H27" s="18" t="n"/>
      <c r="I27" s="18" t="n"/>
    </row>
    <row r="28">
      <c r="A28" s="17" t="n"/>
      <c r="B28" s="18" t="n"/>
      <c r="C28" s="18" t="n"/>
      <c r="D28" s="18" t="n"/>
      <c r="E28" s="18" t="n"/>
      <c r="F28" s="18" t="n"/>
      <c r="G28" s="18" t="n"/>
      <c r="H28" s="18" t="n"/>
      <c r="I28" s="18" t="n"/>
    </row>
    <row r="29">
      <c r="A29" s="17" t="n"/>
      <c r="B29" s="18" t="n"/>
      <c r="C29" s="18" t="n"/>
      <c r="D29" s="18" t="n"/>
      <c r="E29" s="18" t="n"/>
      <c r="F29" s="18" t="n"/>
      <c r="G29" s="18" t="n"/>
      <c r="H29" s="18" t="n"/>
      <c r="I29" s="18" t="n"/>
    </row>
    <row r="30">
      <c r="A30" s="17" t="n"/>
      <c r="B30" s="18" t="n"/>
      <c r="C30" s="18" t="n"/>
      <c r="D30" s="18" t="n"/>
      <c r="E30" s="18" t="n"/>
      <c r="F30" s="18" t="n"/>
      <c r="G30" s="18" t="n"/>
      <c r="H30" s="18" t="n"/>
      <c r="I30" s="18" t="n"/>
    </row>
    <row r="31">
      <c r="A31" s="17" t="n"/>
      <c r="B31" s="18" t="n"/>
      <c r="C31" s="18" t="n"/>
      <c r="D31" s="18" t="n"/>
      <c r="E31" s="18" t="n"/>
      <c r="F31" s="18" t="n"/>
      <c r="G31" s="18" t="n"/>
      <c r="H31" s="18" t="n"/>
      <c r="I31" s="18" t="n"/>
    </row>
    <row r="32">
      <c r="A32" s="17" t="n"/>
      <c r="B32" s="18" t="n"/>
      <c r="C32" s="18" t="n"/>
      <c r="D32" s="18" t="n"/>
      <c r="E32" s="18" t="n"/>
      <c r="F32" s="18" t="n"/>
      <c r="G32" s="18" t="n"/>
      <c r="H32" s="18" t="n"/>
      <c r="I32" s="18" t="n"/>
    </row>
    <row r="33">
      <c r="A33" s="17" t="n"/>
      <c r="B33" s="18" t="n"/>
      <c r="C33" s="18" t="n"/>
      <c r="D33" s="18" t="n"/>
      <c r="E33" s="18" t="n"/>
      <c r="F33" s="18" t="n"/>
      <c r="G33" s="18" t="n"/>
      <c r="H33" s="18" t="n"/>
      <c r="I33" s="18" t="n"/>
    </row>
    <row r="34">
      <c r="A34" s="17" t="n"/>
      <c r="B34" s="18" t="n"/>
      <c r="C34" s="18" t="n"/>
      <c r="D34" s="18" t="n"/>
      <c r="E34" s="18" t="n"/>
      <c r="F34" s="18" t="n"/>
      <c r="G34" s="18" t="n"/>
      <c r="H34" s="18" t="n"/>
      <c r="I34" s="18" t="n"/>
    </row>
    <row r="35">
      <c r="A35" s="17" t="n"/>
      <c r="B35" s="18" t="n"/>
      <c r="C35" s="18" t="n"/>
      <c r="D35" s="18" t="n"/>
      <c r="E35" s="18" t="n"/>
      <c r="F35" s="18" t="n"/>
      <c r="G35" s="18" t="n"/>
      <c r="H35" s="18" t="n"/>
      <c r="I35" s="18" t="n"/>
    </row>
    <row r="36">
      <c r="A36" s="17" t="n"/>
      <c r="B36" s="18" t="n"/>
      <c r="C36" s="18" t="n"/>
      <c r="D36" s="18" t="n"/>
      <c r="E36" s="18" t="n"/>
      <c r="F36" s="18" t="n"/>
      <c r="G36" s="18" t="n"/>
      <c r="H36" s="18" t="n"/>
      <c r="I36" s="18" t="n"/>
    </row>
    <row r="37">
      <c r="A37" s="17" t="n"/>
      <c r="B37" s="18" t="n"/>
      <c r="C37" s="18" t="n"/>
      <c r="D37" s="18" t="n"/>
      <c r="E37" s="18" t="n"/>
      <c r="F37" s="18" t="n"/>
      <c r="G37" s="18" t="n"/>
      <c r="H37" s="18" t="n"/>
      <c r="I37" s="18" t="n"/>
    </row>
    <row r="38">
      <c r="A38" s="17" t="n"/>
      <c r="B38" s="18" t="n"/>
      <c r="C38" s="18" t="n"/>
      <c r="D38" s="18" t="n"/>
      <c r="E38" s="18" t="n"/>
      <c r="F38" s="18" t="n"/>
      <c r="G38" s="18" t="n"/>
      <c r="H38" s="18" t="n"/>
      <c r="I38" s="18" t="n"/>
    </row>
    <row r="39">
      <c r="A39" s="17" t="n"/>
      <c r="B39" s="18" t="n"/>
      <c r="C39" s="18" t="n"/>
      <c r="D39" s="18" t="n"/>
      <c r="E39" s="18" t="n"/>
      <c r="F39" s="18" t="n"/>
      <c r="G39" s="18" t="n"/>
      <c r="H39" s="18" t="n"/>
      <c r="I39" s="18" t="n"/>
    </row>
    <row r="40">
      <c r="A40" s="17" t="n"/>
      <c r="B40" s="18" t="n"/>
      <c r="C40" s="18" t="n"/>
      <c r="D40" s="18" t="n"/>
      <c r="E40" s="18" t="n"/>
      <c r="F40" s="18" t="n"/>
      <c r="G40" s="18" t="n"/>
      <c r="H40" s="18" t="n"/>
      <c r="I40" s="18" t="n"/>
    </row>
    <row r="41">
      <c r="A41" s="17" t="n"/>
      <c r="B41" s="18" t="n"/>
      <c r="C41" s="18" t="n"/>
      <c r="D41" s="18" t="n"/>
      <c r="E41" s="18" t="n"/>
      <c r="F41" s="18" t="n"/>
      <c r="G41" s="18" t="n"/>
      <c r="H41" s="18" t="n"/>
      <c r="I41" s="18" t="n"/>
    </row>
    <row r="42">
      <c r="A42" s="17" t="n"/>
      <c r="B42" s="18" t="n"/>
      <c r="C42" s="18" t="n"/>
      <c r="D42" s="18" t="n"/>
      <c r="E42" s="18" t="n"/>
      <c r="F42" s="18" t="n"/>
      <c r="G42" s="18" t="n"/>
      <c r="H42" s="18" t="n"/>
      <c r="I42" s="18" t="n"/>
    </row>
    <row r="43">
      <c r="A43" s="17" t="n"/>
      <c r="B43" s="18" t="n"/>
      <c r="C43" s="18" t="n"/>
      <c r="D43" s="18" t="n"/>
      <c r="E43" s="18" t="n"/>
      <c r="F43" s="18" t="n"/>
      <c r="G43" s="18" t="n"/>
      <c r="H43" s="18" t="n"/>
      <c r="I43" s="18" t="n"/>
    </row>
    <row r="44">
      <c r="A44" s="17" t="n"/>
      <c r="B44" s="18" t="n"/>
      <c r="C44" s="18" t="n"/>
      <c r="D44" s="18" t="n"/>
      <c r="E44" s="18" t="n"/>
      <c r="F44" s="18" t="n"/>
      <c r="G44" s="18" t="n"/>
      <c r="H44" s="18" t="n"/>
      <c r="I44" s="18" t="n"/>
    </row>
    <row r="45">
      <c r="A45" s="17" t="n"/>
      <c r="B45" s="18" t="n"/>
      <c r="C45" s="18" t="n"/>
      <c r="D45" s="18" t="n"/>
      <c r="E45" s="18" t="n"/>
      <c r="F45" s="18" t="n"/>
      <c r="G45" s="18" t="n"/>
      <c r="H45" s="18" t="n"/>
      <c r="I45" s="18" t="n"/>
    </row>
    <row r="46">
      <c r="A46" s="17" t="n"/>
      <c r="B46" s="18" t="n"/>
      <c r="C46" s="18" t="n"/>
      <c r="D46" s="18" t="n"/>
      <c r="E46" s="18" t="n"/>
      <c r="F46" s="18" t="n"/>
      <c r="G46" s="18" t="n"/>
      <c r="H46" s="18" t="n"/>
      <c r="I46" s="18" t="n"/>
    </row>
    <row r="47">
      <c r="A47" s="17" t="n"/>
      <c r="B47" s="18" t="n"/>
      <c r="C47" s="18" t="n"/>
      <c r="D47" s="18" t="n"/>
      <c r="E47" s="18" t="n"/>
      <c r="F47" s="18" t="n"/>
      <c r="G47" s="18" t="n"/>
      <c r="H47" s="18" t="n"/>
      <c r="I47" s="18" t="n"/>
    </row>
    <row r="48">
      <c r="A48" s="17" t="n"/>
      <c r="B48" s="18" t="n"/>
      <c r="C48" s="18" t="n"/>
      <c r="D48" s="18" t="n"/>
      <c r="E48" s="18" t="n"/>
      <c r="F48" s="18" t="n"/>
      <c r="G48" s="18" t="n"/>
      <c r="H48" s="18" t="n"/>
      <c r="I48" s="18" t="n"/>
    </row>
    <row r="49">
      <c r="A49" s="17" t="n"/>
      <c r="B49" s="18" t="n"/>
      <c r="C49" s="18" t="n"/>
      <c r="D49" s="18" t="n"/>
      <c r="E49" s="18" t="n"/>
      <c r="F49" s="18" t="n"/>
      <c r="G49" s="18" t="n"/>
      <c r="H49" s="18" t="n"/>
      <c r="I49" s="18" t="n"/>
    </row>
    <row r="50">
      <c r="A50" s="17" t="n"/>
      <c r="B50" s="18" t="n"/>
      <c r="C50" s="18" t="n"/>
      <c r="D50" s="18" t="n"/>
      <c r="E50" s="18" t="n"/>
      <c r="F50" s="18" t="n"/>
      <c r="G50" s="18" t="n"/>
      <c r="H50" s="18" t="n"/>
      <c r="I50" s="18" t="n"/>
    </row>
    <row r="51">
      <c r="A51" s="17" t="n"/>
      <c r="B51" s="18" t="n"/>
      <c r="C51" s="18" t="n"/>
      <c r="D51" s="18" t="n"/>
      <c r="E51" s="18" t="n"/>
      <c r="F51" s="18" t="n"/>
      <c r="G51" s="18" t="n"/>
      <c r="H51" s="18" t="n"/>
      <c r="I51" s="18" t="n"/>
    </row>
    <row r="52">
      <c r="A52" s="17" t="n"/>
      <c r="B52" s="18" t="n"/>
      <c r="C52" s="18" t="n"/>
      <c r="D52" s="18" t="n"/>
      <c r="E52" s="18" t="n"/>
      <c r="F52" s="18" t="n"/>
      <c r="G52" s="18" t="n"/>
      <c r="H52" s="18" t="n"/>
      <c r="I52" s="18" t="n"/>
    </row>
    <row r="53">
      <c r="A53" s="17" t="n"/>
      <c r="B53" s="18" t="n"/>
      <c r="C53" s="18" t="n"/>
      <c r="D53" s="18" t="n"/>
      <c r="E53" s="18" t="n"/>
      <c r="F53" s="18" t="n"/>
      <c r="G53" s="18" t="n"/>
      <c r="H53" s="18" t="n"/>
      <c r="I53" s="18" t="n"/>
    </row>
    <row r="54">
      <c r="A54" s="17" t="n"/>
      <c r="B54" s="18" t="n"/>
      <c r="C54" s="18" t="n"/>
      <c r="D54" s="18" t="n"/>
      <c r="E54" s="18" t="n"/>
      <c r="F54" s="18" t="n"/>
      <c r="G54" s="18" t="n"/>
      <c r="H54" s="18" t="n"/>
      <c r="I54" s="18" t="n"/>
    </row>
    <row r="55">
      <c r="A55" s="17" t="n"/>
      <c r="B55" s="18" t="n"/>
      <c r="C55" s="18" t="n"/>
      <c r="D55" s="18" t="n"/>
      <c r="E55" s="18" t="n"/>
      <c r="F55" s="18" t="n"/>
      <c r="G55" s="18" t="n"/>
      <c r="H55" s="18" t="n"/>
      <c r="I55" s="18" t="n"/>
    </row>
    <row r="56">
      <c r="A56" s="17" t="n"/>
      <c r="B56" s="18" t="n"/>
      <c r="C56" s="18" t="n"/>
      <c r="D56" s="18" t="n"/>
      <c r="E56" s="18" t="n"/>
      <c r="F56" s="18" t="n"/>
      <c r="G56" s="18" t="n"/>
      <c r="H56" s="18" t="n"/>
      <c r="I56" s="18" t="n"/>
    </row>
    <row r="57">
      <c r="A57" s="17" t="n"/>
      <c r="B57" s="18" t="n"/>
      <c r="C57" s="18" t="n"/>
      <c r="D57" s="18" t="n"/>
      <c r="E57" s="18" t="n"/>
      <c r="F57" s="18" t="n"/>
      <c r="G57" s="18" t="n"/>
      <c r="H57" s="18" t="n"/>
      <c r="I57" s="18" t="n"/>
    </row>
    <row r="58">
      <c r="A58" s="17" t="n"/>
      <c r="B58" s="18" t="n"/>
      <c r="C58" s="18" t="n"/>
      <c r="D58" s="18" t="n"/>
      <c r="E58" s="18" t="n"/>
      <c r="F58" s="18" t="n"/>
      <c r="G58" s="18" t="n"/>
      <c r="H58" s="18" t="n"/>
      <c r="I58" s="18" t="n"/>
    </row>
    <row r="59">
      <c r="A59" s="17" t="n"/>
      <c r="B59" s="18" t="n"/>
      <c r="C59" s="18" t="n"/>
      <c r="D59" s="18" t="n"/>
      <c r="E59" s="18" t="n"/>
      <c r="F59" s="18" t="n"/>
      <c r="G59" s="18" t="n"/>
      <c r="H59" s="18" t="n"/>
      <c r="I59" s="18" t="n"/>
    </row>
    <row r="60">
      <c r="A60" s="17" t="n"/>
      <c r="B60" s="18" t="n"/>
      <c r="C60" s="18" t="n"/>
      <c r="D60" s="18" t="n"/>
      <c r="E60" s="18" t="n"/>
      <c r="F60" s="18" t="n"/>
      <c r="G60" s="18" t="n"/>
      <c r="H60" s="18" t="n"/>
      <c r="I60" s="18" t="n"/>
    </row>
    <row r="61">
      <c r="A61" s="17" t="n"/>
      <c r="B61" s="18" t="n"/>
      <c r="C61" s="18" t="n"/>
      <c r="D61" s="18" t="n"/>
      <c r="E61" s="18" t="n"/>
      <c r="F61" s="18" t="n"/>
      <c r="G61" s="18" t="n"/>
      <c r="H61" s="18" t="n"/>
      <c r="I61" s="18" t="n"/>
    </row>
    <row r="62">
      <c r="A62" s="17" t="n"/>
      <c r="B62" s="18" t="n"/>
      <c r="C62" s="18" t="n"/>
      <c r="D62" s="18" t="n"/>
      <c r="E62" s="18" t="n"/>
      <c r="F62" s="18" t="n"/>
      <c r="G62" s="18" t="n"/>
      <c r="H62" s="18" t="n"/>
      <c r="I62" s="18" t="n"/>
    </row>
    <row r="63">
      <c r="A63" s="17" t="n"/>
      <c r="B63" s="18" t="n"/>
      <c r="C63" s="18" t="n"/>
      <c r="D63" s="18" t="n"/>
      <c r="E63" s="18" t="n"/>
      <c r="F63" s="18" t="n"/>
      <c r="G63" s="18" t="n"/>
      <c r="H63" s="18" t="n"/>
      <c r="I63" s="18" t="n"/>
    </row>
    <row r="64">
      <c r="A64" s="17" t="n"/>
      <c r="B64" s="18" t="n"/>
      <c r="C64" s="18" t="n"/>
      <c r="D64" s="18" t="n"/>
      <c r="E64" s="18" t="n"/>
      <c r="F64" s="18" t="n"/>
      <c r="G64" s="18" t="n"/>
      <c r="H64" s="18" t="n"/>
      <c r="I64" s="18" t="n"/>
    </row>
    <row r="65">
      <c r="A65" s="17" t="n"/>
      <c r="B65" s="18" t="n"/>
      <c r="C65" s="18" t="n"/>
      <c r="D65" s="18" t="n"/>
      <c r="E65" s="18" t="n"/>
      <c r="F65" s="18" t="n"/>
      <c r="G65" s="18" t="n"/>
      <c r="H65" s="18" t="n"/>
      <c r="I65" s="18" t="n"/>
    </row>
    <row r="66">
      <c r="A66" s="17" t="n"/>
      <c r="B66" s="18" t="n"/>
      <c r="C66" s="18" t="n"/>
      <c r="D66" s="18" t="n"/>
      <c r="E66" s="18" t="n"/>
      <c r="F66" s="18" t="n"/>
      <c r="G66" s="18" t="n"/>
      <c r="H66" s="18" t="n"/>
      <c r="I66" s="18" t="n"/>
    </row>
    <row r="67">
      <c r="A67" s="17" t="n"/>
      <c r="B67" s="18" t="n"/>
      <c r="C67" s="18" t="n"/>
      <c r="D67" s="18" t="n"/>
      <c r="E67" s="18" t="n"/>
      <c r="F67" s="18" t="n"/>
      <c r="G67" s="18" t="n"/>
      <c r="H67" s="18" t="n"/>
      <c r="I67" s="18" t="n"/>
    </row>
    <row r="68">
      <c r="A68" s="17" t="n"/>
      <c r="B68" s="18" t="n"/>
      <c r="C68" s="18" t="n"/>
      <c r="D68" s="18" t="n"/>
      <c r="E68" s="18" t="n"/>
      <c r="F68" s="18" t="n"/>
      <c r="G68" s="18" t="n"/>
      <c r="H68" s="18" t="n"/>
      <c r="I68" s="18" t="n"/>
    </row>
    <row r="69">
      <c r="A69" s="17" t="n"/>
      <c r="B69" s="18" t="n"/>
      <c r="C69" s="18" t="n"/>
      <c r="D69" s="18" t="n"/>
      <c r="E69" s="18" t="n"/>
      <c r="F69" s="18" t="n"/>
      <c r="G69" s="18" t="n"/>
      <c r="H69" s="18" t="n"/>
      <c r="I69" s="18" t="n"/>
    </row>
    <row r="70">
      <c r="A70" s="17" t="n"/>
      <c r="B70" s="18" t="n"/>
      <c r="C70" s="18" t="n"/>
      <c r="D70" s="18" t="n"/>
      <c r="E70" s="18" t="n"/>
      <c r="F70" s="18" t="n"/>
      <c r="G70" s="18" t="n"/>
      <c r="H70" s="18" t="n"/>
      <c r="I70" s="18" t="n"/>
    </row>
    <row r="71">
      <c r="A71" s="17" t="n"/>
      <c r="B71" s="18" t="n"/>
      <c r="C71" s="18" t="n"/>
      <c r="D71" s="18" t="n"/>
      <c r="E71" s="18" t="n"/>
      <c r="F71" s="18" t="n"/>
      <c r="G71" s="18" t="n"/>
      <c r="H71" s="18" t="n"/>
      <c r="I71" s="18" t="n"/>
    </row>
    <row r="72">
      <c r="A72" s="17" t="n"/>
      <c r="B72" s="18" t="n"/>
      <c r="C72" s="18" t="n"/>
      <c r="D72" s="18" t="n"/>
      <c r="E72" s="18" t="n"/>
      <c r="F72" s="18" t="n"/>
      <c r="G72" s="18" t="n"/>
      <c r="H72" s="18" t="n"/>
      <c r="I72" s="18" t="n"/>
    </row>
    <row r="73">
      <c r="A73" s="17" t="n"/>
      <c r="B73" s="18" t="n"/>
      <c r="C73" s="18" t="n"/>
      <c r="D73" s="18" t="n"/>
      <c r="E73" s="18" t="n"/>
      <c r="F73" s="18" t="n"/>
      <c r="G73" s="18" t="n"/>
      <c r="H73" s="18" t="n"/>
      <c r="I73" s="18" t="n"/>
    </row>
    <row r="74">
      <c r="A74" s="17" t="n"/>
      <c r="B74" s="18" t="n"/>
      <c r="C74" s="18" t="n"/>
      <c r="D74" s="18" t="n"/>
      <c r="E74" s="18" t="n"/>
      <c r="F74" s="18" t="n"/>
      <c r="G74" s="18" t="n"/>
      <c r="H74" s="18" t="n"/>
      <c r="I74" s="18" t="n"/>
    </row>
    <row r="75">
      <c r="A75" s="17" t="n"/>
      <c r="B75" s="18" t="n"/>
      <c r="C75" s="18" t="n"/>
      <c r="D75" s="18" t="n"/>
      <c r="E75" s="18" t="n"/>
      <c r="F75" s="18" t="n"/>
      <c r="G75" s="18" t="n"/>
      <c r="H75" s="18" t="n"/>
      <c r="I75" s="18" t="n"/>
    </row>
    <row r="76">
      <c r="A76" s="17" t="n"/>
      <c r="B76" s="18" t="n"/>
      <c r="C76" s="18" t="n"/>
      <c r="D76" s="18" t="n"/>
      <c r="E76" s="18" t="n"/>
      <c r="F76" s="18" t="n"/>
      <c r="G76" s="18" t="n"/>
      <c r="H76" s="18" t="n"/>
      <c r="I76" s="18" t="n"/>
    </row>
    <row r="77">
      <c r="A77" s="17" t="n"/>
      <c r="B77" s="18" t="n"/>
      <c r="C77" s="18" t="n"/>
      <c r="D77" s="18" t="n"/>
      <c r="E77" s="18" t="n"/>
      <c r="F77" s="18" t="n"/>
      <c r="G77" s="18" t="n"/>
      <c r="H77" s="18" t="n"/>
      <c r="I77" s="18" t="n"/>
    </row>
    <row r="78">
      <c r="A78" s="17" t="n"/>
      <c r="B78" s="18" t="n"/>
      <c r="C78" s="18" t="n"/>
      <c r="D78" s="18" t="n"/>
      <c r="E78" s="18" t="n"/>
      <c r="F78" s="18" t="n"/>
      <c r="G78" s="18" t="n"/>
      <c r="H78" s="18" t="n"/>
      <c r="I78" s="18" t="n"/>
    </row>
    <row r="79">
      <c r="A79" s="17" t="n"/>
      <c r="B79" s="18" t="n"/>
      <c r="C79" s="18" t="n"/>
      <c r="D79" s="18" t="n"/>
      <c r="E79" s="18" t="n"/>
      <c r="F79" s="18" t="n"/>
      <c r="G79" s="18" t="n"/>
      <c r="H79" s="18" t="n"/>
      <c r="I79" s="18" t="n"/>
    </row>
    <row r="80">
      <c r="A80" s="17" t="n"/>
      <c r="B80" s="18" t="n"/>
      <c r="C80" s="18" t="n"/>
      <c r="D80" s="18" t="n"/>
      <c r="E80" s="18" t="n"/>
      <c r="F80" s="18" t="n"/>
      <c r="G80" s="18" t="n"/>
      <c r="H80" s="18" t="n"/>
      <c r="I80" s="18" t="n"/>
    </row>
    <row r="81">
      <c r="A81" s="17" t="n"/>
      <c r="B81" s="18" t="n"/>
      <c r="C81" s="18" t="n"/>
      <c r="D81" s="18" t="n"/>
      <c r="E81" s="18" t="n"/>
      <c r="F81" s="18" t="n"/>
      <c r="G81" s="18" t="n"/>
      <c r="H81" s="18" t="n"/>
      <c r="I81" s="18" t="n"/>
    </row>
    <row r="82">
      <c r="A82" s="17" t="n"/>
      <c r="B82" s="18" t="n"/>
      <c r="C82" s="18" t="n"/>
      <c r="D82" s="18" t="n"/>
      <c r="E82" s="18" t="n"/>
      <c r="F82" s="18" t="n"/>
      <c r="G82" s="18" t="n"/>
      <c r="H82" s="18" t="n"/>
      <c r="I82" s="18" t="n"/>
    </row>
    <row r="83">
      <c r="A83" s="17" t="n"/>
      <c r="B83" s="18" t="n"/>
      <c r="C83" s="18" t="n"/>
      <c r="D83" s="18" t="n"/>
      <c r="E83" s="18" t="n"/>
      <c r="F83" s="18" t="n"/>
      <c r="G83" s="18" t="n"/>
      <c r="H83" s="18" t="n"/>
      <c r="I83" s="18" t="n"/>
    </row>
    <row r="84">
      <c r="A84" s="17" t="n"/>
      <c r="B84" s="18" t="n"/>
      <c r="C84" s="18" t="n"/>
      <c r="D84" s="18" t="n"/>
      <c r="E84" s="18" t="n"/>
      <c r="F84" s="18" t="n"/>
      <c r="G84" s="18" t="n"/>
      <c r="H84" s="18" t="n"/>
      <c r="I84" s="18" t="n"/>
    </row>
    <row r="85">
      <c r="A85" s="17" t="n"/>
      <c r="B85" s="18" t="n"/>
      <c r="C85" s="18" t="n"/>
      <c r="D85" s="18" t="n"/>
      <c r="E85" s="18" t="n"/>
      <c r="F85" s="18" t="n"/>
      <c r="G85" s="18" t="n"/>
      <c r="H85" s="18" t="n"/>
      <c r="I85" s="18" t="n"/>
    </row>
    <row r="86">
      <c r="A86" s="17" t="n"/>
      <c r="B86" s="18" t="n"/>
      <c r="C86" s="18" t="n"/>
      <c r="D86" s="18" t="n"/>
      <c r="E86" s="18" t="n"/>
      <c r="F86" s="18" t="n"/>
      <c r="G86" s="18" t="n"/>
      <c r="H86" s="18" t="n"/>
      <c r="I86" s="18" t="n"/>
    </row>
    <row r="87">
      <c r="A87" s="17" t="n"/>
      <c r="B87" s="18" t="n"/>
      <c r="C87" s="18" t="n"/>
      <c r="D87" s="18" t="n"/>
      <c r="E87" s="18" t="n"/>
      <c r="F87" s="18" t="n"/>
      <c r="G87" s="18" t="n"/>
      <c r="H87" s="18" t="n"/>
      <c r="I87" s="18" t="n"/>
    </row>
    <row r="88">
      <c r="A88" s="17" t="n"/>
      <c r="B88" s="18" t="n"/>
      <c r="C88" s="18" t="n"/>
      <c r="D88" s="18" t="n"/>
      <c r="E88" s="18" t="n"/>
      <c r="F88" s="18" t="n"/>
      <c r="G88" s="18" t="n"/>
      <c r="H88" s="18" t="n"/>
      <c r="I88" s="18" t="n"/>
    </row>
    <row r="89">
      <c r="A89" s="17" t="n"/>
      <c r="B89" s="18" t="n"/>
      <c r="C89" s="18" t="n"/>
      <c r="D89" s="18" t="n"/>
      <c r="E89" s="18" t="n"/>
      <c r="F89" s="18" t="n"/>
      <c r="G89" s="18" t="n"/>
      <c r="H89" s="18" t="n"/>
      <c r="I89" s="18" t="n"/>
    </row>
    <row r="90">
      <c r="A90" s="17" t="n"/>
      <c r="B90" s="18" t="n"/>
      <c r="C90" s="18" t="n"/>
      <c r="D90" s="18" t="n"/>
      <c r="E90" s="18" t="n"/>
      <c r="F90" s="18" t="n"/>
      <c r="G90" s="18" t="n"/>
      <c r="H90" s="18" t="n"/>
      <c r="I90" s="18" t="n"/>
    </row>
    <row r="91">
      <c r="A91" s="17" t="n"/>
      <c r="B91" s="18" t="n"/>
      <c r="C91" s="18" t="n"/>
      <c r="D91" s="18" t="n"/>
      <c r="E91" s="18" t="n"/>
      <c r="F91" s="18" t="n"/>
      <c r="G91" s="18" t="n"/>
      <c r="H91" s="18" t="n"/>
      <c r="I91" s="18" t="n"/>
    </row>
    <row r="92">
      <c r="A92" s="17" t="n"/>
      <c r="B92" s="18" t="n"/>
      <c r="C92" s="18" t="n"/>
      <c r="D92" s="18" t="n"/>
      <c r="E92" s="18" t="n"/>
      <c r="F92" s="18" t="n"/>
      <c r="G92" s="18" t="n"/>
      <c r="H92" s="18" t="n"/>
      <c r="I92" s="18" t="n"/>
    </row>
    <row r="93">
      <c r="A93" s="17" t="n"/>
      <c r="B93" s="18" t="n"/>
      <c r="C93" s="18" t="n"/>
      <c r="D93" s="18" t="n"/>
      <c r="E93" s="18" t="n"/>
      <c r="F93" s="18" t="n"/>
      <c r="G93" s="18" t="n"/>
      <c r="H93" s="18" t="n"/>
      <c r="I93" s="18" t="n"/>
    </row>
    <row r="94">
      <c r="A94" s="17" t="n"/>
      <c r="B94" s="18" t="n"/>
      <c r="C94" s="18" t="n"/>
      <c r="D94" s="18" t="n"/>
      <c r="E94" s="18" t="n"/>
      <c r="F94" s="18" t="n"/>
      <c r="G94" s="18" t="n"/>
      <c r="H94" s="18" t="n"/>
      <c r="I94" s="18" t="n"/>
    </row>
    <row r="95">
      <c r="A95" s="17" t="n"/>
      <c r="B95" s="18" t="n"/>
      <c r="C95" s="18" t="n"/>
      <c r="D95" s="18" t="n"/>
      <c r="E95" s="18" t="n"/>
      <c r="F95" s="18" t="n"/>
      <c r="G95" s="18" t="n"/>
      <c r="H95" s="18" t="n"/>
      <c r="I95" s="18" t="n"/>
    </row>
    <row r="96">
      <c r="A96" s="17" t="n"/>
      <c r="B96" s="18" t="n"/>
      <c r="C96" s="18" t="n"/>
      <c r="D96" s="18" t="n"/>
      <c r="E96" s="18" t="n"/>
      <c r="F96" s="18" t="n"/>
      <c r="G96" s="18" t="n"/>
      <c r="H96" s="18" t="n"/>
      <c r="I96" s="18" t="n"/>
    </row>
    <row r="97">
      <c r="A97" s="17" t="n"/>
      <c r="B97" s="18" t="n"/>
      <c r="C97" s="18" t="n"/>
      <c r="D97" s="18" t="n"/>
      <c r="E97" s="18" t="n"/>
      <c r="F97" s="18" t="n"/>
      <c r="G97" s="18" t="n"/>
      <c r="H97" s="18" t="n"/>
      <c r="I97" s="18" t="n"/>
    </row>
    <row r="98">
      <c r="A98" s="17" t="n"/>
      <c r="B98" s="18" t="n"/>
      <c r="C98" s="18" t="n"/>
      <c r="D98" s="18" t="n"/>
      <c r="E98" s="18" t="n"/>
      <c r="F98" s="18" t="n"/>
      <c r="G98" s="18" t="n"/>
      <c r="H98" s="18" t="n"/>
      <c r="I98" s="18" t="n"/>
    </row>
    <row r="99">
      <c r="A99" s="17" t="n"/>
      <c r="B99" s="18" t="n"/>
      <c r="C99" s="18" t="n"/>
      <c r="D99" s="18" t="n"/>
      <c r="E99" s="18" t="n"/>
      <c r="F99" s="18" t="n"/>
      <c r="G99" s="18" t="n"/>
      <c r="H99" s="18" t="n"/>
      <c r="I99" s="18" t="n"/>
    </row>
    <row r="100">
      <c r="A100" s="17" t="n"/>
      <c r="B100" s="18" t="n"/>
      <c r="C100" s="18" t="n"/>
      <c r="D100" s="18" t="n"/>
      <c r="E100" s="18" t="n"/>
      <c r="F100" s="18" t="n"/>
      <c r="G100" s="18" t="n"/>
      <c r="H100" s="18" t="n"/>
      <c r="I100" s="18" t="n"/>
    </row>
    <row r="101">
      <c r="A101" s="17" t="n"/>
      <c r="B101" s="18" t="n"/>
      <c r="C101" s="18" t="n"/>
      <c r="D101" s="18" t="n"/>
      <c r="E101" s="18" t="n"/>
      <c r="F101" s="18" t="n"/>
      <c r="G101" s="18" t="n"/>
      <c r="H101" s="18" t="n"/>
      <c r="I101" s="18" t="n"/>
    </row>
    <row r="102">
      <c r="A102" s="17" t="n"/>
      <c r="B102" s="18" t="n"/>
      <c r="C102" s="18" t="n"/>
      <c r="D102" s="18" t="n"/>
      <c r="E102" s="18" t="n"/>
      <c r="F102" s="18" t="n"/>
      <c r="G102" s="18" t="n"/>
      <c r="H102" s="18" t="n"/>
      <c r="I102" s="18" t="n"/>
    </row>
    <row r="103">
      <c r="A103" s="17" t="n"/>
      <c r="B103" s="18" t="n"/>
      <c r="C103" s="18" t="n"/>
      <c r="D103" s="18" t="n"/>
      <c r="E103" s="18" t="n"/>
      <c r="F103" s="18" t="n"/>
      <c r="G103" s="18" t="n"/>
      <c r="H103" s="18" t="n"/>
      <c r="I103" s="18" t="n"/>
    </row>
    <row r="104">
      <c r="A104" s="17" t="n"/>
      <c r="B104" s="18" t="n"/>
      <c r="C104" s="18" t="n"/>
      <c r="D104" s="18" t="n"/>
      <c r="E104" s="18" t="n"/>
      <c r="F104" s="18" t="n"/>
      <c r="G104" s="18" t="n"/>
      <c r="H104" s="18" t="n"/>
      <c r="I104" s="18" t="n"/>
    </row>
    <row r="105">
      <c r="A105" s="17" t="n"/>
      <c r="B105" s="18" t="n"/>
      <c r="C105" s="18" t="n"/>
      <c r="D105" s="18" t="n"/>
      <c r="E105" s="18" t="n"/>
      <c r="F105" s="18" t="n"/>
      <c r="G105" s="18" t="n"/>
      <c r="H105" s="18" t="n"/>
      <c r="I105" s="18" t="n"/>
    </row>
    <row r="106">
      <c r="A106" s="17" t="n"/>
      <c r="B106" s="18" t="n"/>
      <c r="C106" s="18" t="n"/>
      <c r="D106" s="18" t="n"/>
      <c r="E106" s="18" t="n"/>
      <c r="F106" s="18" t="n"/>
      <c r="G106" s="18" t="n"/>
      <c r="H106" s="18" t="n"/>
      <c r="I106" s="18" t="n"/>
    </row>
    <row r="107">
      <c r="A107" s="17" t="n"/>
      <c r="B107" s="18" t="n"/>
      <c r="C107" s="18" t="n"/>
      <c r="D107" s="18" t="n"/>
      <c r="E107" s="18" t="n"/>
      <c r="F107" s="18" t="n"/>
      <c r="G107" s="18" t="n"/>
      <c r="H107" s="18" t="n"/>
      <c r="I107" s="18" t="n"/>
    </row>
    <row r="108">
      <c r="A108" s="17" t="n"/>
      <c r="B108" s="18" t="n"/>
      <c r="C108" s="18" t="n"/>
      <c r="D108" s="18" t="n"/>
      <c r="E108" s="18" t="n"/>
      <c r="F108" s="18" t="n"/>
      <c r="G108" s="18" t="n"/>
      <c r="H108" s="18" t="n"/>
      <c r="I108" s="18" t="n"/>
    </row>
    <row r="109">
      <c r="A109" s="17" t="n"/>
      <c r="B109" s="18" t="n"/>
      <c r="C109" s="18" t="n"/>
      <c r="D109" s="18" t="n"/>
      <c r="E109" s="18" t="n"/>
      <c r="F109" s="18" t="n"/>
      <c r="G109" s="18" t="n"/>
      <c r="H109" s="18" t="n"/>
      <c r="I109" s="18" t="n"/>
    </row>
    <row r="110">
      <c r="A110" s="17" t="n"/>
      <c r="B110" s="18" t="n"/>
      <c r="C110" s="18" t="n"/>
      <c r="D110" s="18" t="n"/>
      <c r="E110" s="18" t="n"/>
      <c r="F110" s="18" t="n"/>
      <c r="G110" s="18" t="n"/>
      <c r="H110" s="18" t="n"/>
      <c r="I110" s="18" t="n"/>
    </row>
    <row r="111">
      <c r="A111" s="17" t="n"/>
      <c r="B111" s="18" t="n"/>
      <c r="C111" s="18" t="n"/>
      <c r="D111" s="18" t="n"/>
      <c r="E111" s="18" t="n"/>
      <c r="F111" s="18" t="n"/>
      <c r="G111" s="18" t="n"/>
      <c r="H111" s="18" t="n"/>
      <c r="I111" s="18" t="n"/>
    </row>
    <row r="112">
      <c r="A112" s="17" t="n"/>
      <c r="B112" s="18" t="n"/>
      <c r="C112" s="18" t="n"/>
      <c r="D112" s="18" t="n"/>
      <c r="E112" s="18" t="n"/>
      <c r="F112" s="18" t="n"/>
      <c r="G112" s="18" t="n"/>
      <c r="H112" s="18" t="n"/>
      <c r="I112" s="18" t="n"/>
    </row>
    <row r="113">
      <c r="A113" s="17" t="n"/>
      <c r="B113" s="18" t="n"/>
      <c r="C113" s="18" t="n"/>
      <c r="D113" s="18" t="n"/>
      <c r="E113" s="18" t="n"/>
      <c r="F113" s="18" t="n"/>
      <c r="G113" s="18" t="n"/>
      <c r="H113" s="18" t="n"/>
      <c r="I113" s="18" t="n"/>
    </row>
    <row r="114">
      <c r="A114" s="17" t="n"/>
      <c r="B114" s="18" t="n"/>
      <c r="C114" s="18" t="n"/>
      <c r="D114" s="18" t="n"/>
      <c r="E114" s="18" t="n"/>
      <c r="F114" s="18" t="n"/>
      <c r="G114" s="18" t="n"/>
      <c r="H114" s="18" t="n"/>
      <c r="I114" s="18" t="n"/>
    </row>
    <row r="115">
      <c r="A115" s="17" t="n"/>
      <c r="B115" s="18" t="n"/>
      <c r="C115" s="18" t="n"/>
      <c r="D115" s="18" t="n"/>
      <c r="E115" s="18" t="n"/>
      <c r="F115" s="18" t="n"/>
      <c r="G115" s="18" t="n"/>
      <c r="H115" s="18" t="n"/>
      <c r="I115" s="18" t="n"/>
    </row>
    <row r="116">
      <c r="A116" s="17" t="n"/>
      <c r="B116" s="18" t="n"/>
      <c r="C116" s="18" t="n"/>
      <c r="D116" s="18" t="n"/>
      <c r="E116" s="18" t="n"/>
      <c r="F116" s="18" t="n"/>
      <c r="G116" s="18" t="n"/>
      <c r="H116" s="18" t="n"/>
      <c r="I116" s="18" t="n"/>
    </row>
    <row r="117">
      <c r="A117" s="17" t="n"/>
      <c r="B117" s="18" t="n"/>
      <c r="C117" s="18" t="n"/>
      <c r="D117" s="18" t="n"/>
      <c r="E117" s="18" t="n"/>
      <c r="F117" s="18" t="n"/>
      <c r="G117" s="18" t="n"/>
      <c r="H117" s="18" t="n"/>
      <c r="I117" s="18" t="n"/>
    </row>
    <row r="118">
      <c r="A118" s="17" t="n"/>
      <c r="B118" s="18" t="n"/>
      <c r="C118" s="18" t="n"/>
      <c r="D118" s="18" t="n"/>
      <c r="E118" s="18" t="n"/>
      <c r="F118" s="18" t="n"/>
      <c r="G118" s="18" t="n"/>
      <c r="H118" s="18" t="n"/>
      <c r="I118" s="18" t="n"/>
    </row>
    <row r="119">
      <c r="A119" s="17" t="n"/>
      <c r="B119" s="18" t="n"/>
      <c r="C119" s="18" t="n"/>
      <c r="D119" s="18" t="n"/>
      <c r="E119" s="18" t="n"/>
      <c r="F119" s="18" t="n"/>
      <c r="G119" s="18" t="n"/>
      <c r="H119" s="18" t="n"/>
      <c r="I119" s="18" t="n"/>
    </row>
    <row r="120">
      <c r="A120" s="17" t="n"/>
      <c r="B120" s="18" t="n"/>
      <c r="C120" s="18" t="n"/>
      <c r="D120" s="18" t="n"/>
      <c r="E120" s="18" t="n"/>
      <c r="F120" s="18" t="n"/>
      <c r="G120" s="18" t="n"/>
      <c r="H120" s="18" t="n"/>
      <c r="I120" s="18" t="n"/>
    </row>
    <row r="121">
      <c r="A121" s="17" t="n"/>
      <c r="B121" s="18" t="n"/>
      <c r="C121" s="18" t="n"/>
      <c r="D121" s="18" t="n"/>
      <c r="E121" s="18" t="n"/>
      <c r="F121" s="18" t="n"/>
      <c r="G121" s="18" t="n"/>
      <c r="H121" s="18" t="n"/>
      <c r="I121" s="18" t="n"/>
    </row>
    <row r="122">
      <c r="A122" s="17" t="n"/>
      <c r="B122" s="18" t="n"/>
      <c r="C122" s="18" t="n"/>
      <c r="D122" s="18" t="n"/>
      <c r="E122" s="18" t="n"/>
      <c r="F122" s="18" t="n"/>
      <c r="G122" s="18" t="n"/>
      <c r="H122" s="18" t="n"/>
      <c r="I122" s="18" t="n"/>
    </row>
    <row r="123">
      <c r="A123" s="17" t="n"/>
      <c r="B123" s="18" t="n"/>
      <c r="C123" s="18" t="n"/>
      <c r="D123" s="18" t="n"/>
      <c r="E123" s="18" t="n"/>
      <c r="F123" s="18" t="n"/>
      <c r="G123" s="18" t="n"/>
      <c r="H123" s="18" t="n"/>
      <c r="I123" s="18" t="n"/>
    </row>
    <row r="124">
      <c r="A124" s="17" t="n"/>
      <c r="B124" s="18" t="n"/>
      <c r="C124" s="18" t="n"/>
      <c r="D124" s="18" t="n"/>
      <c r="E124" s="18" t="n"/>
      <c r="F124" s="18" t="n"/>
      <c r="G124" s="18" t="n"/>
      <c r="H124" s="18" t="n"/>
      <c r="I124" s="18" t="n"/>
    </row>
    <row r="125">
      <c r="A125" s="17" t="n"/>
      <c r="B125" s="18" t="n"/>
      <c r="C125" s="18" t="n"/>
      <c r="D125" s="18" t="n"/>
      <c r="E125" s="18" t="n"/>
      <c r="F125" s="18" t="n"/>
      <c r="G125" s="18" t="n"/>
      <c r="H125" s="18" t="n"/>
      <c r="I125" s="18" t="n"/>
    </row>
    <row r="126">
      <c r="A126" s="17" t="n"/>
      <c r="B126" s="18" t="n"/>
      <c r="C126" s="18" t="n"/>
      <c r="D126" s="18" t="n"/>
      <c r="E126" s="18" t="n"/>
      <c r="F126" s="18" t="n"/>
      <c r="G126" s="18" t="n"/>
      <c r="H126" s="18" t="n"/>
      <c r="I126" s="18" t="n"/>
    </row>
    <row r="127">
      <c r="A127" s="17" t="n"/>
      <c r="B127" s="18" t="n"/>
      <c r="C127" s="18" t="n"/>
      <c r="D127" s="18" t="n"/>
      <c r="E127" s="18" t="n"/>
      <c r="F127" s="18" t="n"/>
      <c r="G127" s="18" t="n"/>
      <c r="H127" s="18" t="n"/>
      <c r="I127" s="18" t="n"/>
    </row>
    <row r="128">
      <c r="A128" s="17" t="n"/>
      <c r="B128" s="18" t="n"/>
      <c r="C128" s="18" t="n"/>
      <c r="D128" s="18" t="n"/>
      <c r="E128" s="18" t="n"/>
      <c r="F128" s="18" t="n"/>
      <c r="G128" s="18" t="n"/>
      <c r="H128" s="18" t="n"/>
      <c r="I128" s="18" t="n"/>
    </row>
    <row r="129">
      <c r="A129" s="17" t="n"/>
      <c r="B129" s="18" t="n"/>
      <c r="C129" s="18" t="n"/>
      <c r="D129" s="18" t="n"/>
      <c r="E129" s="18" t="n"/>
      <c r="F129" s="18" t="n"/>
      <c r="G129" s="18" t="n"/>
      <c r="H129" s="18" t="n"/>
      <c r="I129" s="18" t="n"/>
    </row>
    <row r="130">
      <c r="A130" s="17" t="n"/>
      <c r="B130" s="18" t="n"/>
      <c r="C130" s="18" t="n"/>
      <c r="D130" s="18" t="n"/>
      <c r="E130" s="18" t="n"/>
      <c r="F130" s="18" t="n"/>
      <c r="G130" s="18" t="n"/>
      <c r="H130" s="18" t="n"/>
      <c r="I130" s="18" t="n"/>
    </row>
    <row r="131">
      <c r="A131" s="17" t="n"/>
      <c r="B131" s="18" t="n"/>
      <c r="C131" s="18" t="n"/>
      <c r="D131" s="18" t="n"/>
      <c r="E131" s="18" t="n"/>
      <c r="F131" s="18" t="n"/>
      <c r="G131" s="18" t="n"/>
      <c r="H131" s="18" t="n"/>
      <c r="I131" s="18" t="n"/>
    </row>
    <row r="132">
      <c r="A132" s="17" t="n"/>
      <c r="B132" s="18" t="n"/>
      <c r="C132" s="18" t="n"/>
      <c r="D132" s="18" t="n"/>
      <c r="E132" s="18" t="n"/>
      <c r="F132" s="18" t="n"/>
      <c r="G132" s="18" t="n"/>
      <c r="H132" s="18" t="n"/>
      <c r="I132" s="18" t="n"/>
    </row>
    <row r="133">
      <c r="A133" s="17" t="n"/>
      <c r="B133" s="18" t="n"/>
      <c r="C133" s="18" t="n"/>
      <c r="D133" s="18" t="n"/>
      <c r="E133" s="18" t="n"/>
      <c r="F133" s="18" t="n"/>
      <c r="G133" s="18" t="n"/>
      <c r="H133" s="18" t="n"/>
      <c r="I133" s="18" t="n"/>
    </row>
    <row r="134">
      <c r="A134" s="17" t="n"/>
      <c r="B134" s="18" t="n"/>
      <c r="C134" s="18" t="n"/>
      <c r="D134" s="18" t="n"/>
      <c r="E134" s="18" t="n"/>
      <c r="F134" s="18" t="n"/>
      <c r="G134" s="18" t="n"/>
      <c r="H134" s="18" t="n"/>
      <c r="I134" s="18" t="n"/>
    </row>
    <row r="135">
      <c r="A135" s="17" t="n"/>
      <c r="B135" s="18" t="n"/>
      <c r="C135" s="18" t="n"/>
      <c r="D135" s="18" t="n"/>
      <c r="E135" s="18" t="n"/>
      <c r="F135" s="18" t="n"/>
      <c r="G135" s="18" t="n"/>
      <c r="H135" s="18" t="n"/>
      <c r="I135" s="18" t="n"/>
    </row>
    <row r="136">
      <c r="A136" s="17" t="n"/>
      <c r="B136" s="18" t="n"/>
      <c r="C136" s="18" t="n"/>
      <c r="D136" s="18" t="n"/>
      <c r="E136" s="18" t="n"/>
      <c r="F136" s="18" t="n"/>
      <c r="G136" s="18" t="n"/>
      <c r="H136" s="18" t="n"/>
      <c r="I136" s="18" t="n"/>
    </row>
    <row r="137">
      <c r="A137" s="17" t="n"/>
      <c r="B137" s="18" t="n"/>
      <c r="C137" s="18" t="n"/>
      <c r="D137" s="18" t="n"/>
      <c r="E137" s="18" t="n"/>
      <c r="F137" s="18" t="n"/>
      <c r="G137" s="18" t="n"/>
      <c r="H137" s="18" t="n"/>
      <c r="I137" s="18" t="n"/>
    </row>
    <row r="138">
      <c r="A138" s="17" t="n"/>
      <c r="B138" s="18" t="n"/>
      <c r="C138" s="18" t="n"/>
      <c r="D138" s="18" t="n"/>
      <c r="E138" s="18" t="n"/>
      <c r="F138" s="18" t="n"/>
      <c r="G138" s="18" t="n"/>
      <c r="H138" s="18" t="n"/>
      <c r="I138" s="18" t="n"/>
    </row>
    <row r="139">
      <c r="A139" s="17" t="n"/>
      <c r="B139" s="18" t="n"/>
      <c r="C139" s="18" t="n"/>
      <c r="D139" s="18" t="n"/>
      <c r="E139" s="18" t="n"/>
      <c r="F139" s="18" t="n"/>
      <c r="G139" s="18" t="n"/>
      <c r="H139" s="18" t="n"/>
      <c r="I139" s="18" t="n"/>
    </row>
    <row r="140">
      <c r="A140" s="17" t="n"/>
      <c r="B140" s="18" t="n"/>
      <c r="C140" s="18" t="n"/>
      <c r="D140" s="18" t="n"/>
      <c r="E140" s="18" t="n"/>
      <c r="F140" s="18" t="n"/>
      <c r="G140" s="18" t="n"/>
      <c r="H140" s="18" t="n"/>
      <c r="I140" s="18" t="n"/>
    </row>
    <row r="141">
      <c r="A141" s="17" t="n"/>
      <c r="B141" s="18" t="n"/>
      <c r="C141" s="18" t="n"/>
      <c r="D141" s="18" t="n"/>
      <c r="E141" s="18" t="n"/>
      <c r="F141" s="18" t="n"/>
      <c r="G141" s="18" t="n"/>
      <c r="H141" s="18" t="n"/>
      <c r="I141" s="18" t="n"/>
    </row>
    <row r="142">
      <c r="A142" s="17" t="n"/>
      <c r="B142" s="18" t="n"/>
      <c r="C142" s="18" t="n"/>
      <c r="D142" s="18" t="n"/>
      <c r="E142" s="18" t="n"/>
      <c r="F142" s="18" t="n"/>
      <c r="G142" s="18" t="n"/>
      <c r="H142" s="18" t="n"/>
      <c r="I142" s="18" t="n"/>
    </row>
    <row r="143">
      <c r="A143" s="17" t="n"/>
      <c r="B143" s="18" t="n"/>
      <c r="C143" s="18" t="n"/>
      <c r="D143" s="18" t="n"/>
      <c r="E143" s="18" t="n"/>
      <c r="F143" s="18" t="n"/>
      <c r="G143" s="18" t="n"/>
      <c r="H143" s="18" t="n"/>
      <c r="I143" s="18" t="n"/>
    </row>
    <row r="144">
      <c r="A144" s="17" t="n"/>
      <c r="B144" s="18" t="n"/>
      <c r="C144" s="18" t="n"/>
      <c r="D144" s="18" t="n"/>
      <c r="E144" s="18" t="n"/>
      <c r="F144" s="18" t="n"/>
      <c r="G144" s="18" t="n"/>
      <c r="H144" s="18" t="n"/>
      <c r="I144" s="18" t="n"/>
    </row>
    <row r="145">
      <c r="A145" s="17" t="n"/>
      <c r="B145" s="18" t="n"/>
      <c r="C145" s="18" t="n"/>
      <c r="D145" s="18" t="n"/>
      <c r="E145" s="18" t="n"/>
      <c r="F145" s="18" t="n"/>
      <c r="G145" s="18" t="n"/>
      <c r="H145" s="18" t="n"/>
      <c r="I145" s="18" t="n"/>
    </row>
    <row r="146">
      <c r="A146" s="17" t="n"/>
      <c r="B146" s="18" t="n"/>
      <c r="C146" s="18" t="n"/>
      <c r="D146" s="18" t="n"/>
      <c r="E146" s="18" t="n"/>
      <c r="F146" s="18" t="n"/>
      <c r="G146" s="18" t="n"/>
      <c r="H146" s="18" t="n"/>
      <c r="I146" s="18" t="n"/>
    </row>
    <row r="147">
      <c r="A147" s="17" t="n"/>
      <c r="B147" s="18" t="n"/>
      <c r="C147" s="18" t="n"/>
      <c r="D147" s="18" t="n"/>
      <c r="E147" s="18" t="n"/>
      <c r="F147" s="18" t="n"/>
      <c r="G147" s="18" t="n"/>
      <c r="H147" s="18" t="n"/>
      <c r="I147" s="18" t="n"/>
    </row>
    <row r="148">
      <c r="A148" s="17" t="n"/>
      <c r="B148" s="18" t="n"/>
      <c r="C148" s="18" t="n"/>
      <c r="D148" s="18" t="n"/>
      <c r="E148" s="18" t="n"/>
      <c r="F148" s="18" t="n"/>
      <c r="G148" s="18" t="n"/>
      <c r="H148" s="18" t="n"/>
      <c r="I148" s="18" t="n"/>
    </row>
    <row r="149">
      <c r="A149" s="17" t="n"/>
      <c r="B149" s="18" t="n"/>
      <c r="C149" s="18" t="n"/>
      <c r="D149" s="18" t="n"/>
      <c r="E149" s="18" t="n"/>
      <c r="F149" s="18" t="n"/>
      <c r="G149" s="18" t="n"/>
      <c r="H149" s="18" t="n"/>
      <c r="I149" s="18" t="n"/>
    </row>
    <row r="150">
      <c r="A150" s="17" t="n"/>
      <c r="B150" s="18" t="n"/>
      <c r="C150" s="18" t="n"/>
      <c r="D150" s="18" t="n"/>
      <c r="E150" s="18" t="n"/>
      <c r="F150" s="18" t="n"/>
      <c r="G150" s="18" t="n"/>
      <c r="H150" s="18" t="n"/>
      <c r="I150" s="18" t="n"/>
    </row>
    <row r="151">
      <c r="A151" s="17" t="n"/>
      <c r="B151" s="18" t="n"/>
      <c r="C151" s="18" t="n"/>
      <c r="D151" s="18" t="n"/>
      <c r="E151" s="18" t="n"/>
      <c r="F151" s="18" t="n"/>
      <c r="G151" s="18" t="n"/>
      <c r="H151" s="18" t="n"/>
      <c r="I151" s="18" t="n"/>
    </row>
    <row r="152">
      <c r="A152" s="17" t="n"/>
      <c r="B152" s="18" t="n"/>
      <c r="C152" s="18" t="n"/>
      <c r="D152" s="18" t="n"/>
      <c r="E152" s="18" t="n"/>
      <c r="F152" s="18" t="n"/>
      <c r="G152" s="18" t="n"/>
      <c r="H152" s="18" t="n"/>
      <c r="I152" s="18" t="n"/>
    </row>
    <row r="153">
      <c r="A153" s="17" t="n"/>
      <c r="B153" s="18" t="n"/>
      <c r="C153" s="18" t="n"/>
      <c r="D153" s="18" t="n"/>
      <c r="E153" s="18" t="n"/>
      <c r="F153" s="18" t="n"/>
      <c r="G153" s="18" t="n"/>
      <c r="H153" s="18" t="n"/>
      <c r="I153" s="18" t="n"/>
    </row>
    <row r="154">
      <c r="A154" s="17" t="n"/>
      <c r="B154" s="18" t="n"/>
      <c r="C154" s="18" t="n"/>
      <c r="D154" s="18" t="n"/>
      <c r="E154" s="18" t="n"/>
      <c r="F154" s="18" t="n"/>
      <c r="G154" s="18" t="n"/>
      <c r="H154" s="18" t="n"/>
      <c r="I154" s="18" t="n"/>
    </row>
    <row r="155">
      <c r="A155" s="17" t="n"/>
      <c r="B155" s="18" t="n"/>
      <c r="C155" s="18" t="n"/>
      <c r="D155" s="18" t="n"/>
      <c r="E155" s="18" t="n"/>
      <c r="F155" s="18" t="n"/>
      <c r="G155" s="18" t="n"/>
      <c r="H155" s="18" t="n"/>
      <c r="I155" s="18" t="n"/>
    </row>
    <row r="156">
      <c r="A156" s="17" t="n"/>
      <c r="B156" s="18" t="n"/>
      <c r="C156" s="18" t="n"/>
      <c r="D156" s="18" t="n"/>
      <c r="E156" s="18" t="n"/>
      <c r="F156" s="18" t="n"/>
      <c r="G156" s="18" t="n"/>
      <c r="H156" s="18" t="n"/>
      <c r="I156" s="18" t="n"/>
    </row>
    <row r="157">
      <c r="A157" s="17" t="n"/>
      <c r="B157" s="18" t="n"/>
      <c r="C157" s="18" t="n"/>
      <c r="D157" s="18" t="n"/>
      <c r="E157" s="18" t="n"/>
      <c r="F157" s="18" t="n"/>
      <c r="G157" s="18" t="n"/>
      <c r="H157" s="18" t="n"/>
      <c r="I157" s="18" t="n"/>
    </row>
    <row r="158">
      <c r="A158" s="17" t="n"/>
      <c r="B158" s="18" t="n"/>
      <c r="C158" s="18" t="n"/>
      <c r="D158" s="18" t="n"/>
      <c r="E158" s="18" t="n"/>
      <c r="F158" s="18" t="n"/>
      <c r="G158" s="18" t="n"/>
      <c r="H158" s="18" t="n"/>
      <c r="I158" s="18" t="n"/>
    </row>
    <row r="159">
      <c r="A159" s="17" t="n"/>
      <c r="B159" s="18" t="n"/>
      <c r="C159" s="18" t="n"/>
      <c r="D159" s="18" t="n"/>
      <c r="E159" s="18" t="n"/>
      <c r="F159" s="18" t="n"/>
      <c r="G159" s="18" t="n"/>
      <c r="H159" s="18" t="n"/>
      <c r="I159" s="18" t="n"/>
    </row>
    <row r="160">
      <c r="A160" s="17" t="n"/>
      <c r="B160" s="18" t="n"/>
      <c r="C160" s="18" t="n"/>
      <c r="D160" s="18" t="n"/>
      <c r="E160" s="18" t="n"/>
      <c r="F160" s="18" t="n"/>
      <c r="G160" s="18" t="n"/>
      <c r="H160" s="18" t="n"/>
      <c r="I160" s="18" t="n"/>
    </row>
    <row r="161">
      <c r="A161" s="17" t="n"/>
      <c r="B161" s="18" t="n"/>
      <c r="C161" s="18" t="n"/>
      <c r="D161" s="18" t="n"/>
      <c r="E161" s="18" t="n"/>
      <c r="F161" s="18" t="n"/>
      <c r="G161" s="18" t="n"/>
      <c r="H161" s="18" t="n"/>
      <c r="I161" s="18" t="n"/>
    </row>
    <row r="162">
      <c r="A162" s="17" t="n"/>
      <c r="B162" s="18" t="n"/>
      <c r="C162" s="18" t="n"/>
      <c r="D162" s="18" t="n"/>
      <c r="E162" s="18" t="n"/>
      <c r="F162" s="18" t="n"/>
      <c r="G162" s="18" t="n"/>
      <c r="H162" s="18" t="n"/>
      <c r="I162" s="18" t="n"/>
    </row>
    <row r="163">
      <c r="A163" s="17" t="n"/>
      <c r="B163" s="18" t="n"/>
      <c r="C163" s="18" t="n"/>
      <c r="D163" s="18" t="n"/>
      <c r="E163" s="18" t="n"/>
      <c r="F163" s="18" t="n"/>
      <c r="G163" s="18" t="n"/>
      <c r="H163" s="18" t="n"/>
      <c r="I163" s="18" t="n"/>
    </row>
    <row r="164">
      <c r="A164" s="17" t="n"/>
      <c r="B164" s="18" t="n"/>
      <c r="C164" s="18" t="n"/>
      <c r="D164" s="18" t="n"/>
      <c r="E164" s="18" t="n"/>
      <c r="F164" s="18" t="n"/>
      <c r="G164" s="18" t="n"/>
      <c r="H164" s="18" t="n"/>
      <c r="I164" s="18" t="n"/>
    </row>
    <row r="165">
      <c r="A165" s="17" t="n"/>
      <c r="B165" s="18" t="n"/>
      <c r="C165" s="18" t="n"/>
      <c r="D165" s="18" t="n"/>
      <c r="E165" s="18" t="n"/>
      <c r="F165" s="18" t="n"/>
      <c r="G165" s="18" t="n"/>
      <c r="H165" s="18" t="n"/>
      <c r="I165" s="18" t="n"/>
    </row>
    <row r="166">
      <c r="A166" s="17" t="n"/>
      <c r="B166" s="18" t="n"/>
      <c r="C166" s="18" t="n"/>
      <c r="D166" s="18" t="n"/>
      <c r="E166" s="18" t="n"/>
      <c r="F166" s="18" t="n"/>
      <c r="G166" s="18" t="n"/>
      <c r="H166" s="18" t="n"/>
      <c r="I166" s="18" t="n"/>
    </row>
    <row r="167">
      <c r="A167" s="17" t="n"/>
      <c r="B167" s="18" t="n"/>
      <c r="C167" s="18" t="n"/>
      <c r="D167" s="18" t="n"/>
      <c r="E167" s="18" t="n"/>
      <c r="F167" s="18" t="n"/>
      <c r="G167" s="18" t="n"/>
      <c r="H167" s="18" t="n"/>
      <c r="I167" s="18" t="n"/>
    </row>
    <row r="168">
      <c r="A168" s="17" t="n"/>
      <c r="B168" s="18" t="n"/>
      <c r="C168" s="18" t="n"/>
      <c r="D168" s="18" t="n"/>
      <c r="E168" s="18" t="n"/>
      <c r="F168" s="18" t="n"/>
      <c r="G168" s="18" t="n"/>
      <c r="H168" s="18" t="n"/>
      <c r="I168" s="18" t="n"/>
    </row>
    <row r="169">
      <c r="A169" s="17" t="n"/>
      <c r="B169" s="18" t="n"/>
      <c r="C169" s="18" t="n"/>
      <c r="D169" s="18" t="n"/>
      <c r="E169" s="18" t="n"/>
      <c r="F169" s="18" t="n"/>
      <c r="G169" s="18" t="n"/>
      <c r="H169" s="18" t="n"/>
      <c r="I169" s="18" t="n"/>
    </row>
    <row r="170">
      <c r="A170" s="17" t="n"/>
      <c r="B170" s="18" t="n"/>
      <c r="C170" s="18" t="n"/>
      <c r="D170" s="18" t="n"/>
      <c r="E170" s="18" t="n"/>
      <c r="F170" s="18" t="n"/>
      <c r="G170" s="18" t="n"/>
      <c r="H170" s="18" t="n"/>
      <c r="I170" s="18" t="n"/>
    </row>
    <row r="171">
      <c r="A171" s="17" t="n"/>
      <c r="B171" s="18" t="n"/>
      <c r="C171" s="18" t="n"/>
      <c r="D171" s="18" t="n"/>
      <c r="E171" s="18" t="n"/>
      <c r="F171" s="18" t="n"/>
      <c r="G171" s="18" t="n"/>
      <c r="H171" s="18" t="n"/>
      <c r="I171" s="18" t="n"/>
    </row>
    <row r="172">
      <c r="A172" s="17" t="n"/>
      <c r="B172" s="18" t="n"/>
      <c r="C172" s="18" t="n"/>
      <c r="D172" s="18" t="n"/>
      <c r="E172" s="18" t="n"/>
      <c r="F172" s="18" t="n"/>
      <c r="G172" s="18" t="n"/>
      <c r="H172" s="18" t="n"/>
      <c r="I172" s="18" t="n"/>
    </row>
    <row r="173">
      <c r="A173" s="17" t="n"/>
      <c r="B173" s="18" t="n"/>
      <c r="C173" s="18" t="n"/>
      <c r="D173" s="18" t="n"/>
      <c r="E173" s="18" t="n"/>
      <c r="F173" s="18" t="n"/>
      <c r="G173" s="18" t="n"/>
      <c r="H173" s="18" t="n"/>
      <c r="I173" s="18" t="n"/>
    </row>
    <row r="174">
      <c r="A174" s="17" t="n"/>
      <c r="B174" s="18" t="n"/>
      <c r="C174" s="18" t="n"/>
      <c r="D174" s="18" t="n"/>
      <c r="E174" s="18" t="n"/>
      <c r="F174" s="18" t="n"/>
      <c r="G174" s="18" t="n"/>
      <c r="H174" s="18" t="n"/>
      <c r="I174" s="18" t="n"/>
    </row>
    <row r="175">
      <c r="A175" s="17" t="n"/>
      <c r="B175" s="18" t="n"/>
      <c r="C175" s="18" t="n"/>
      <c r="D175" s="18" t="n"/>
      <c r="E175" s="18" t="n"/>
      <c r="F175" s="18" t="n"/>
      <c r="G175" s="18" t="n"/>
      <c r="H175" s="18" t="n"/>
      <c r="I175" s="18" t="n"/>
    </row>
    <row r="176">
      <c r="A176" s="17" t="n"/>
      <c r="B176" s="18" t="n"/>
      <c r="C176" s="18" t="n"/>
      <c r="D176" s="18" t="n"/>
      <c r="E176" s="18" t="n"/>
      <c r="F176" s="18" t="n"/>
      <c r="G176" s="18" t="n"/>
      <c r="H176" s="18" t="n"/>
      <c r="I176" s="18" t="n"/>
    </row>
    <row r="177">
      <c r="A177" s="17" t="n"/>
      <c r="B177" s="18" t="n"/>
      <c r="C177" s="18" t="n"/>
      <c r="D177" s="18" t="n"/>
      <c r="E177" s="18" t="n"/>
      <c r="F177" s="18" t="n"/>
      <c r="G177" s="18" t="n"/>
      <c r="H177" s="18" t="n"/>
      <c r="I177" s="18" t="n"/>
    </row>
    <row r="178">
      <c r="A178" s="17" t="n"/>
      <c r="B178" s="18" t="n"/>
      <c r="C178" s="18" t="n"/>
      <c r="D178" s="18" t="n"/>
      <c r="E178" s="18" t="n"/>
      <c r="F178" s="18" t="n"/>
      <c r="G178" s="18" t="n"/>
      <c r="H178" s="18" t="n"/>
      <c r="I178" s="18" t="n"/>
    </row>
    <row r="179">
      <c r="A179" s="17" t="n"/>
      <c r="B179" s="18" t="n"/>
      <c r="C179" s="18" t="n"/>
      <c r="D179" s="18" t="n"/>
      <c r="E179" s="18" t="n"/>
      <c r="F179" s="18" t="n"/>
      <c r="G179" s="18" t="n"/>
      <c r="H179" s="18" t="n"/>
      <c r="I179" s="18" t="n"/>
    </row>
    <row r="180">
      <c r="A180" s="17" t="n"/>
      <c r="B180" s="18" t="n"/>
      <c r="C180" s="18" t="n"/>
      <c r="D180" s="18" t="n"/>
      <c r="E180" s="18" t="n"/>
      <c r="F180" s="18" t="n"/>
      <c r="G180" s="18" t="n"/>
      <c r="H180" s="18" t="n"/>
      <c r="I180" s="18" t="n"/>
    </row>
    <row r="181">
      <c r="A181" s="17" t="n"/>
      <c r="B181" s="18" t="n"/>
      <c r="C181" s="18" t="n"/>
      <c r="D181" s="18" t="n"/>
      <c r="E181" s="18" t="n"/>
      <c r="F181" s="18" t="n"/>
      <c r="G181" s="18" t="n"/>
      <c r="H181" s="18" t="n"/>
      <c r="I181" s="18" t="n"/>
    </row>
    <row r="182">
      <c r="A182" s="17" t="n"/>
      <c r="B182" s="18" t="n"/>
      <c r="C182" s="18" t="n"/>
      <c r="D182" s="18" t="n"/>
      <c r="E182" s="18" t="n"/>
      <c r="F182" s="18" t="n"/>
      <c r="G182" s="18" t="n"/>
      <c r="H182" s="18" t="n"/>
      <c r="I182" s="18" t="n"/>
    </row>
    <row r="183">
      <c r="A183" s="17" t="n"/>
      <c r="B183" s="18" t="n"/>
      <c r="C183" s="18" t="n"/>
      <c r="D183" s="18" t="n"/>
      <c r="E183" s="18" t="n"/>
      <c r="F183" s="18" t="n"/>
      <c r="G183" s="18" t="n"/>
      <c r="H183" s="18" t="n"/>
      <c r="I183" s="18" t="n"/>
    </row>
    <row r="184">
      <c r="A184" s="17" t="n"/>
      <c r="B184" s="18" t="n"/>
      <c r="C184" s="18" t="n"/>
      <c r="D184" s="18" t="n"/>
      <c r="E184" s="18" t="n"/>
      <c r="F184" s="18" t="n"/>
      <c r="G184" s="18" t="n"/>
      <c r="H184" s="18" t="n"/>
      <c r="I184" s="18" t="n"/>
    </row>
    <row r="185">
      <c r="A185" s="17" t="n"/>
      <c r="B185" s="18" t="n"/>
      <c r="C185" s="18" t="n"/>
      <c r="D185" s="18" t="n"/>
      <c r="E185" s="18" t="n"/>
      <c r="F185" s="18" t="n"/>
      <c r="G185" s="18" t="n"/>
      <c r="H185" s="18" t="n"/>
      <c r="I185" s="18" t="n"/>
    </row>
    <row r="186">
      <c r="A186" s="17" t="n"/>
      <c r="B186" s="18" t="n"/>
      <c r="C186" s="18" t="n"/>
      <c r="D186" s="18" t="n"/>
      <c r="E186" s="18" t="n"/>
      <c r="F186" s="18" t="n"/>
      <c r="G186" s="18" t="n"/>
      <c r="H186" s="18" t="n"/>
      <c r="I186" s="18" t="n"/>
    </row>
    <row r="187">
      <c r="A187" s="17" t="n"/>
      <c r="B187" s="18" t="n"/>
      <c r="C187" s="18" t="n"/>
      <c r="D187" s="18" t="n"/>
      <c r="E187" s="18" t="n"/>
      <c r="F187" s="18" t="n"/>
      <c r="G187" s="18" t="n"/>
      <c r="H187" s="18" t="n"/>
      <c r="I187" s="18" t="n"/>
    </row>
    <row r="188">
      <c r="A188" s="17" t="n"/>
      <c r="B188" s="18" t="n"/>
      <c r="C188" s="18" t="n"/>
      <c r="D188" s="18" t="n"/>
      <c r="E188" s="18" t="n"/>
      <c r="F188" s="18" t="n"/>
      <c r="G188" s="18" t="n"/>
      <c r="H188" s="18" t="n"/>
      <c r="I188" s="18" t="n"/>
    </row>
    <row r="189">
      <c r="A189" s="17" t="n"/>
      <c r="B189" s="18" t="n"/>
      <c r="C189" s="18" t="n"/>
      <c r="D189" s="18" t="n"/>
      <c r="E189" s="18" t="n"/>
      <c r="F189" s="18" t="n"/>
      <c r="G189" s="18" t="n"/>
      <c r="H189" s="18" t="n"/>
      <c r="I189" s="18" t="n"/>
    </row>
    <row r="190">
      <c r="A190" s="17" t="n"/>
      <c r="B190" s="18" t="n"/>
      <c r="C190" s="18" t="n"/>
      <c r="D190" s="18" t="n"/>
      <c r="E190" s="18" t="n"/>
      <c r="F190" s="18" t="n"/>
      <c r="G190" s="18" t="n"/>
      <c r="H190" s="18" t="n"/>
      <c r="I190" s="18" t="n"/>
    </row>
    <row r="191">
      <c r="A191" s="17" t="n"/>
      <c r="B191" s="18" t="n"/>
      <c r="C191" s="18" t="n"/>
      <c r="D191" s="18" t="n"/>
      <c r="E191" s="18" t="n"/>
      <c r="F191" s="18" t="n"/>
      <c r="G191" s="18" t="n"/>
      <c r="H191" s="18" t="n"/>
      <c r="I191" s="18" t="n"/>
    </row>
    <row r="192">
      <c r="A192" s="17" t="n"/>
      <c r="B192" s="18" t="n"/>
      <c r="C192" s="18" t="n"/>
      <c r="D192" s="18" t="n"/>
      <c r="E192" s="18" t="n"/>
      <c r="F192" s="18" t="n"/>
      <c r="G192" s="18" t="n"/>
      <c r="H192" s="18" t="n"/>
      <c r="I192" s="18" t="n"/>
    </row>
    <row r="193">
      <c r="A193" s="17" t="n"/>
      <c r="B193" s="18" t="n"/>
      <c r="C193" s="18" t="n"/>
      <c r="D193" s="18" t="n"/>
      <c r="E193" s="18" t="n"/>
      <c r="F193" s="18" t="n"/>
      <c r="G193" s="18" t="n"/>
      <c r="H193" s="18" t="n"/>
      <c r="I193" s="18" t="n"/>
    </row>
    <row r="194">
      <c r="A194" s="17" t="n"/>
      <c r="B194" s="18" t="n"/>
      <c r="C194" s="18" t="n"/>
      <c r="D194" s="18" t="n"/>
      <c r="E194" s="18" t="n"/>
      <c r="F194" s="18" t="n"/>
      <c r="G194" s="18" t="n"/>
      <c r="H194" s="18" t="n"/>
      <c r="I194" s="18" t="n"/>
    </row>
    <row r="195">
      <c r="A195" s="17" t="n"/>
      <c r="B195" s="18" t="n"/>
      <c r="C195" s="18" t="n"/>
      <c r="D195" s="18" t="n"/>
      <c r="E195" s="18" t="n"/>
      <c r="F195" s="18" t="n"/>
      <c r="G195" s="18" t="n"/>
      <c r="H195" s="18" t="n"/>
      <c r="I195" s="18" t="n"/>
    </row>
    <row r="196">
      <c r="A196" s="17" t="n"/>
      <c r="B196" s="18" t="n"/>
      <c r="C196" s="18" t="n"/>
      <c r="D196" s="18" t="n"/>
      <c r="E196" s="18" t="n"/>
      <c r="F196" s="18" t="n"/>
      <c r="G196" s="18" t="n"/>
      <c r="H196" s="18" t="n"/>
      <c r="I196" s="18" t="n"/>
    </row>
    <row r="197">
      <c r="A197" s="17" t="n"/>
      <c r="B197" s="18" t="n"/>
      <c r="C197" s="18" t="n"/>
      <c r="D197" s="18" t="n"/>
      <c r="E197" s="18" t="n"/>
      <c r="F197" s="18" t="n"/>
      <c r="G197" s="18" t="n"/>
      <c r="H197" s="18" t="n"/>
      <c r="I197" s="18" t="n"/>
    </row>
    <row r="198">
      <c r="A198" s="17" t="n"/>
      <c r="B198" s="18" t="n"/>
      <c r="C198" s="18" t="n"/>
      <c r="D198" s="18" t="n"/>
      <c r="E198" s="18" t="n"/>
      <c r="F198" s="18" t="n"/>
      <c r="G198" s="18" t="n"/>
      <c r="H198" s="18" t="n"/>
      <c r="I198" s="18" t="n"/>
    </row>
    <row r="199">
      <c r="A199" s="17" t="n"/>
      <c r="B199" s="18" t="n"/>
      <c r="C199" s="18" t="n"/>
      <c r="D199" s="18" t="n"/>
      <c r="E199" s="18" t="n"/>
      <c r="F199" s="18" t="n"/>
      <c r="G199" s="18" t="n"/>
      <c r="H199" s="18" t="n"/>
      <c r="I199" s="18" t="n"/>
    </row>
    <row r="200">
      <c r="A200" s="17" t="n"/>
      <c r="B200" s="18" t="n"/>
      <c r="C200" s="18" t="n"/>
      <c r="D200" s="18" t="n"/>
      <c r="E200" s="18" t="n"/>
      <c r="F200" s="18" t="n"/>
      <c r="G200" s="18" t="n"/>
      <c r="H200" s="18" t="n"/>
      <c r="I200" s="18" t="n"/>
    </row>
    <row r="201">
      <c r="A201" s="17" t="n"/>
      <c r="B201" s="18" t="n"/>
      <c r="C201" s="18" t="n"/>
      <c r="D201" s="18" t="n"/>
      <c r="E201" s="18" t="n"/>
      <c r="F201" s="18" t="n"/>
      <c r="G201" s="18" t="n"/>
      <c r="H201" s="18" t="n"/>
      <c r="I201" s="18" t="n"/>
    </row>
    <row r="202">
      <c r="A202" s="17" t="n"/>
      <c r="B202" s="18" t="n"/>
      <c r="C202" s="18" t="n"/>
      <c r="D202" s="18" t="n"/>
      <c r="E202" s="18" t="n"/>
      <c r="F202" s="18" t="n"/>
      <c r="G202" s="18" t="n"/>
      <c r="H202" s="18" t="n"/>
      <c r="I202" s="18" t="n"/>
    </row>
    <row r="203">
      <c r="A203" s="17" t="n"/>
      <c r="B203" s="18" t="n"/>
      <c r="C203" s="18" t="n"/>
      <c r="D203" s="18" t="n"/>
      <c r="E203" s="18" t="n"/>
      <c r="F203" s="18" t="n"/>
      <c r="G203" s="18" t="n"/>
      <c r="H203" s="18" t="n"/>
      <c r="I203" s="18" t="n"/>
    </row>
    <row r="204">
      <c r="A204" s="17" t="n"/>
      <c r="B204" s="18" t="n"/>
      <c r="C204" s="18" t="n"/>
      <c r="D204" s="18" t="n"/>
      <c r="E204" s="18" t="n"/>
      <c r="F204" s="18" t="n"/>
      <c r="G204" s="18" t="n"/>
      <c r="H204" s="18" t="n"/>
      <c r="I204" s="18" t="n"/>
    </row>
    <row r="205">
      <c r="A205" s="17" t="n"/>
      <c r="B205" s="18" t="n"/>
      <c r="C205" s="18" t="n"/>
      <c r="D205" s="18" t="n"/>
      <c r="E205" s="18" t="n"/>
      <c r="F205" s="18" t="n"/>
      <c r="G205" s="18" t="n"/>
      <c r="H205" s="18" t="n"/>
      <c r="I205" s="18" t="n"/>
    </row>
    <row r="206">
      <c r="A206" s="17" t="n"/>
      <c r="B206" s="18" t="n"/>
      <c r="C206" s="18" t="n"/>
      <c r="D206" s="18" t="n"/>
      <c r="E206" s="18" t="n"/>
      <c r="F206" s="18" t="n"/>
      <c r="G206" s="18" t="n"/>
      <c r="H206" s="18" t="n"/>
      <c r="I206" s="18" t="n"/>
    </row>
    <row r="207">
      <c r="A207" s="17" t="n"/>
      <c r="B207" s="18" t="n"/>
      <c r="C207" s="18" t="n"/>
      <c r="D207" s="18" t="n"/>
      <c r="E207" s="18" t="n"/>
      <c r="F207" s="18" t="n"/>
      <c r="G207" s="18" t="n"/>
      <c r="H207" s="18" t="n"/>
      <c r="I207" s="18" t="n"/>
    </row>
    <row r="208">
      <c r="A208" s="17" t="n"/>
      <c r="B208" s="18" t="n"/>
      <c r="C208" s="18" t="n"/>
      <c r="D208" s="18" t="n"/>
      <c r="E208" s="18" t="n"/>
      <c r="F208" s="18" t="n"/>
      <c r="G208" s="18" t="n"/>
      <c r="H208" s="18" t="n"/>
      <c r="I208" s="18" t="n"/>
    </row>
    <row r="209">
      <c r="A209" s="17" t="n"/>
      <c r="B209" s="18" t="n"/>
      <c r="C209" s="18" t="n"/>
      <c r="D209" s="18" t="n"/>
      <c r="E209" s="18" t="n"/>
      <c r="F209" s="18" t="n"/>
      <c r="G209" s="18" t="n"/>
      <c r="H209" s="18" t="n"/>
      <c r="I209" s="18" t="n"/>
    </row>
    <row r="210">
      <c r="A210" s="17" t="n"/>
      <c r="B210" s="18" t="n"/>
      <c r="C210" s="18" t="n"/>
      <c r="D210" s="18" t="n"/>
      <c r="E210" s="18" t="n"/>
      <c r="F210" s="18" t="n"/>
      <c r="G210" s="18" t="n"/>
      <c r="H210" s="18" t="n"/>
      <c r="I210" s="18" t="n"/>
    </row>
    <row r="211">
      <c r="A211" s="17" t="n"/>
      <c r="B211" s="18" t="n"/>
      <c r="C211" s="18" t="n"/>
      <c r="D211" s="18" t="n"/>
      <c r="E211" s="18" t="n"/>
      <c r="F211" s="18" t="n"/>
      <c r="G211" s="18" t="n"/>
      <c r="H211" s="18" t="n"/>
      <c r="I211" s="18" t="n"/>
    </row>
    <row r="212">
      <c r="A212" s="17" t="n"/>
      <c r="B212" s="18" t="n"/>
      <c r="C212" s="18" t="n"/>
      <c r="D212" s="18" t="n"/>
      <c r="E212" s="18" t="n"/>
      <c r="F212" s="18" t="n"/>
      <c r="G212" s="18" t="n"/>
      <c r="H212" s="18" t="n"/>
      <c r="I212" s="18" t="n"/>
    </row>
    <row r="213">
      <c r="A213" s="17" t="n"/>
      <c r="B213" s="18" t="n"/>
      <c r="C213" s="18" t="n"/>
      <c r="D213" s="18" t="n"/>
      <c r="E213" s="18" t="n"/>
      <c r="F213" s="18" t="n"/>
      <c r="G213" s="18" t="n"/>
      <c r="H213" s="18" t="n"/>
      <c r="I213" s="18" t="n"/>
    </row>
    <row r="214">
      <c r="A214" s="17" t="n"/>
      <c r="B214" s="18" t="n"/>
      <c r="C214" s="18" t="n"/>
      <c r="D214" s="18" t="n"/>
      <c r="E214" s="18" t="n"/>
      <c r="F214" s="18" t="n"/>
      <c r="G214" s="18" t="n"/>
      <c r="H214" s="18" t="n"/>
      <c r="I214" s="18" t="n"/>
    </row>
    <row r="215">
      <c r="A215" s="17" t="n"/>
      <c r="B215" s="18" t="n"/>
      <c r="C215" s="18" t="n"/>
      <c r="D215" s="18" t="n"/>
      <c r="E215" s="18" t="n"/>
      <c r="F215" s="18" t="n"/>
      <c r="G215" s="18" t="n"/>
      <c r="H215" s="18" t="n"/>
      <c r="I215" s="18" t="n"/>
    </row>
    <row r="216">
      <c r="A216" s="17" t="n"/>
      <c r="B216" s="18" t="n"/>
      <c r="C216" s="18" t="n"/>
      <c r="D216" s="18" t="n"/>
      <c r="E216" s="18" t="n"/>
      <c r="F216" s="18" t="n"/>
      <c r="G216" s="18" t="n"/>
      <c r="H216" s="18" t="n"/>
      <c r="I216" s="18" t="n"/>
    </row>
    <row r="217">
      <c r="A217" s="17" t="n"/>
      <c r="B217" s="18" t="n"/>
      <c r="C217" s="18" t="n"/>
      <c r="D217" s="18" t="n"/>
      <c r="E217" s="18" t="n"/>
      <c r="F217" s="18" t="n"/>
      <c r="G217" s="18" t="n"/>
      <c r="H217" s="18" t="n"/>
      <c r="I217" s="18" t="n"/>
    </row>
    <row r="218">
      <c r="A218" s="17" t="n"/>
      <c r="B218" s="18" t="n"/>
      <c r="C218" s="18" t="n"/>
      <c r="D218" s="18" t="n"/>
      <c r="E218" s="18" t="n"/>
      <c r="F218" s="18" t="n"/>
      <c r="G218" s="18" t="n"/>
      <c r="H218" s="18" t="n"/>
      <c r="I218" s="18" t="n"/>
    </row>
    <row r="219">
      <c r="A219" s="17" t="n"/>
      <c r="B219" s="18" t="n"/>
      <c r="C219" s="18" t="n"/>
      <c r="D219" s="18" t="n"/>
      <c r="E219" s="18" t="n"/>
      <c r="F219" s="18" t="n"/>
      <c r="G219" s="18" t="n"/>
      <c r="H219" s="18" t="n"/>
      <c r="I219" s="18" t="n"/>
    </row>
    <row r="220">
      <c r="A220" s="17" t="n"/>
      <c r="B220" s="18" t="n"/>
      <c r="C220" s="18" t="n"/>
      <c r="D220" s="18" t="n"/>
      <c r="E220" s="18" t="n"/>
      <c r="F220" s="18" t="n"/>
      <c r="G220" s="18" t="n"/>
      <c r="H220" s="18" t="n"/>
      <c r="I220" s="18" t="n"/>
    </row>
    <row r="221">
      <c r="A221" s="17" t="n"/>
      <c r="B221" s="18" t="n"/>
      <c r="C221" s="18" t="n"/>
      <c r="D221" s="18" t="n"/>
      <c r="E221" s="18" t="n"/>
      <c r="F221" s="18" t="n"/>
      <c r="G221" s="18" t="n"/>
      <c r="H221" s="18" t="n"/>
      <c r="I221" s="18" t="n"/>
    </row>
    <row r="222">
      <c r="A222" s="17" t="n"/>
      <c r="B222" s="18" t="n"/>
      <c r="C222" s="18" t="n"/>
      <c r="D222" s="18" t="n"/>
      <c r="E222" s="18" t="n"/>
      <c r="F222" s="18" t="n"/>
      <c r="G222" s="18" t="n"/>
      <c r="H222" s="18" t="n"/>
      <c r="I222" s="18" t="n"/>
    </row>
    <row r="223">
      <c r="A223" s="17" t="n"/>
      <c r="B223" s="18" t="n"/>
      <c r="C223" s="18" t="n"/>
      <c r="D223" s="18" t="n"/>
      <c r="E223" s="18" t="n"/>
      <c r="F223" s="18" t="n"/>
      <c r="G223" s="18" t="n"/>
      <c r="H223" s="18" t="n"/>
      <c r="I223" s="18" t="n"/>
    </row>
    <row r="224">
      <c r="A224" s="17" t="n"/>
      <c r="B224" s="18" t="n"/>
      <c r="C224" s="18" t="n"/>
      <c r="D224" s="18" t="n"/>
      <c r="E224" s="18" t="n"/>
      <c r="F224" s="18" t="n"/>
      <c r="G224" s="18" t="n"/>
      <c r="H224" s="18" t="n"/>
      <c r="I224" s="18" t="n"/>
    </row>
    <row r="225">
      <c r="A225" s="17" t="n"/>
      <c r="B225" s="18" t="n"/>
      <c r="C225" s="18" t="n"/>
      <c r="D225" s="18" t="n"/>
      <c r="E225" s="18" t="n"/>
      <c r="F225" s="18" t="n"/>
      <c r="G225" s="18" t="n"/>
      <c r="H225" s="18" t="n"/>
      <c r="I225" s="18" t="n"/>
    </row>
    <row r="226">
      <c r="A226" s="17" t="n"/>
      <c r="B226" s="18" t="n"/>
      <c r="C226" s="18" t="n"/>
      <c r="D226" s="18" t="n"/>
      <c r="E226" s="18" t="n"/>
      <c r="F226" s="18" t="n"/>
      <c r="G226" s="18" t="n"/>
      <c r="H226" s="18" t="n"/>
      <c r="I226" s="18" t="n"/>
    </row>
    <row r="227">
      <c r="A227" s="17" t="n"/>
      <c r="B227" s="18" t="n"/>
      <c r="C227" s="18" t="n"/>
      <c r="D227" s="18" t="n"/>
      <c r="E227" s="18" t="n"/>
      <c r="F227" s="18" t="n"/>
      <c r="G227" s="18" t="n"/>
      <c r="H227" s="18" t="n"/>
      <c r="I227" s="18" t="n"/>
    </row>
    <row r="228">
      <c r="A228" s="17" t="n"/>
      <c r="B228" s="18" t="n"/>
      <c r="C228" s="18" t="n"/>
      <c r="D228" s="18" t="n"/>
      <c r="E228" s="18" t="n"/>
      <c r="F228" s="18" t="n"/>
      <c r="G228" s="18" t="n"/>
      <c r="H228" s="18" t="n"/>
      <c r="I228" s="18" t="n"/>
    </row>
    <row r="229">
      <c r="A229" s="17" t="n"/>
      <c r="B229" s="18" t="n"/>
      <c r="C229" s="18" t="n"/>
      <c r="D229" s="18" t="n"/>
      <c r="E229" s="18" t="n"/>
      <c r="F229" s="18" t="n"/>
      <c r="G229" s="18" t="n"/>
      <c r="H229" s="18" t="n"/>
      <c r="I229" s="18" t="n"/>
    </row>
    <row r="230">
      <c r="A230" s="17" t="n"/>
      <c r="B230" s="18" t="n"/>
      <c r="C230" s="18" t="n"/>
      <c r="D230" s="18" t="n"/>
      <c r="E230" s="18" t="n"/>
      <c r="F230" s="18" t="n"/>
      <c r="G230" s="18" t="n"/>
      <c r="H230" s="18" t="n"/>
      <c r="I230" s="18" t="n"/>
    </row>
    <row r="231">
      <c r="A231" s="17" t="n"/>
      <c r="B231" s="18" t="n"/>
      <c r="C231" s="18" t="n"/>
      <c r="D231" s="18" t="n"/>
      <c r="E231" s="18" t="n"/>
      <c r="F231" s="18" t="n"/>
      <c r="G231" s="18" t="n"/>
      <c r="H231" s="18" t="n"/>
      <c r="I231" s="18" t="n"/>
    </row>
    <row r="232">
      <c r="A232" s="17" t="n"/>
      <c r="B232" s="18" t="n"/>
      <c r="C232" s="18" t="n"/>
      <c r="D232" s="18" t="n"/>
      <c r="E232" s="18" t="n"/>
      <c r="F232" s="18" t="n"/>
      <c r="G232" s="18" t="n"/>
      <c r="H232" s="18" t="n"/>
      <c r="I232" s="18" t="n"/>
    </row>
    <row r="233">
      <c r="A233" s="17" t="n"/>
      <c r="B233" s="18" t="n"/>
      <c r="C233" s="18" t="n"/>
      <c r="D233" s="18" t="n"/>
      <c r="E233" s="18" t="n"/>
      <c r="F233" s="18" t="n"/>
      <c r="G233" s="18" t="n"/>
      <c r="H233" s="18" t="n"/>
      <c r="I233" s="18" t="n"/>
    </row>
    <row r="234">
      <c r="A234" s="17" t="n"/>
      <c r="B234" s="18" t="n"/>
      <c r="C234" s="18" t="n"/>
      <c r="D234" s="18" t="n"/>
      <c r="E234" s="18" t="n"/>
      <c r="F234" s="18" t="n"/>
      <c r="G234" s="18" t="n"/>
      <c r="H234" s="18" t="n"/>
      <c r="I234" s="18" t="n"/>
    </row>
    <row r="235">
      <c r="A235" s="17" t="n"/>
      <c r="B235" s="18" t="n"/>
      <c r="C235" s="18" t="n"/>
      <c r="D235" s="18" t="n"/>
      <c r="E235" s="18" t="n"/>
      <c r="F235" s="18" t="n"/>
      <c r="G235" s="18" t="n"/>
      <c r="H235" s="18" t="n"/>
      <c r="I235" s="18" t="n"/>
    </row>
    <row r="236">
      <c r="A236" s="17" t="n"/>
      <c r="B236" s="18" t="n"/>
      <c r="C236" s="18" t="n"/>
      <c r="D236" s="18" t="n"/>
      <c r="E236" s="18" t="n"/>
      <c r="F236" s="18" t="n"/>
      <c r="G236" s="18" t="n"/>
      <c r="H236" s="18" t="n"/>
      <c r="I236" s="18" t="n"/>
    </row>
    <row r="237">
      <c r="A237" s="17" t="n"/>
      <c r="B237" s="18" t="n"/>
      <c r="C237" s="18" t="n"/>
      <c r="D237" s="18" t="n"/>
      <c r="E237" s="18" t="n"/>
      <c r="F237" s="18" t="n"/>
      <c r="G237" s="18" t="n"/>
      <c r="H237" s="18" t="n"/>
      <c r="I237" s="18" t="n"/>
    </row>
    <row r="238">
      <c r="A238" s="17" t="n"/>
      <c r="B238" s="18" t="n"/>
      <c r="C238" s="18" t="n"/>
      <c r="D238" s="18" t="n"/>
      <c r="E238" s="18" t="n"/>
      <c r="F238" s="18" t="n"/>
      <c r="G238" s="18" t="n"/>
      <c r="H238" s="18" t="n"/>
      <c r="I238" s="18" t="n"/>
    </row>
    <row r="239">
      <c r="A239" s="17" t="n"/>
      <c r="B239" s="18" t="n"/>
      <c r="C239" s="18" t="n"/>
      <c r="D239" s="18" t="n"/>
      <c r="E239" s="18" t="n"/>
      <c r="F239" s="18" t="n"/>
      <c r="G239" s="18" t="n"/>
      <c r="H239" s="18" t="n"/>
      <c r="I239" s="18" t="n"/>
    </row>
    <row r="240">
      <c r="A240" s="17" t="n"/>
      <c r="B240" s="18" t="n"/>
      <c r="C240" s="18" t="n"/>
      <c r="D240" s="18" t="n"/>
      <c r="E240" s="18" t="n"/>
      <c r="F240" s="18" t="n"/>
      <c r="G240" s="18" t="n"/>
      <c r="H240" s="18" t="n"/>
      <c r="I240" s="18" t="n"/>
    </row>
    <row r="241">
      <c r="A241" s="17" t="n"/>
      <c r="B241" s="18" t="n"/>
      <c r="C241" s="18" t="n"/>
      <c r="D241" s="18" t="n"/>
      <c r="E241" s="18" t="n"/>
      <c r="F241" s="18" t="n"/>
      <c r="G241" s="18" t="n"/>
      <c r="H241" s="18" t="n"/>
      <c r="I241" s="18" t="n"/>
    </row>
    <row r="242">
      <c r="A242" s="17" t="n"/>
      <c r="B242" s="18" t="n"/>
      <c r="C242" s="18" t="n"/>
      <c r="D242" s="18" t="n"/>
      <c r="E242" s="18" t="n"/>
      <c r="F242" s="18" t="n"/>
      <c r="G242" s="18" t="n"/>
      <c r="H242" s="18" t="n"/>
      <c r="I242" s="18" t="n"/>
    </row>
    <row r="243">
      <c r="A243" s="17" t="n"/>
      <c r="B243" s="18" t="n"/>
      <c r="C243" s="18" t="n"/>
      <c r="D243" s="18" t="n"/>
      <c r="E243" s="18" t="n"/>
      <c r="F243" s="18" t="n"/>
      <c r="G243" s="18" t="n"/>
      <c r="H243" s="18" t="n"/>
      <c r="I243" s="18" t="n"/>
    </row>
    <row r="244">
      <c r="A244" s="17" t="n"/>
      <c r="B244" s="18" t="n"/>
      <c r="C244" s="18" t="n"/>
      <c r="D244" s="18" t="n"/>
      <c r="E244" s="18" t="n"/>
      <c r="F244" s="18" t="n"/>
      <c r="G244" s="18" t="n"/>
      <c r="H244" s="18" t="n"/>
      <c r="I244" s="18" t="n"/>
    </row>
    <row r="245">
      <c r="A245" s="17" t="n"/>
      <c r="B245" s="18" t="n"/>
      <c r="C245" s="18" t="n"/>
      <c r="D245" s="18" t="n"/>
      <c r="E245" s="18" t="n"/>
      <c r="F245" s="18" t="n"/>
      <c r="G245" s="18" t="n"/>
      <c r="H245" s="18" t="n"/>
      <c r="I245" s="18" t="n"/>
    </row>
    <row r="246">
      <c r="A246" s="17" t="n"/>
      <c r="B246" s="18" t="n"/>
      <c r="C246" s="18" t="n"/>
      <c r="D246" s="18" t="n"/>
      <c r="E246" s="18" t="n"/>
      <c r="F246" s="18" t="n"/>
      <c r="G246" s="18" t="n"/>
      <c r="H246" s="18" t="n"/>
      <c r="I246" s="18" t="n"/>
    </row>
    <row r="247">
      <c r="A247" s="17" t="n"/>
      <c r="B247" s="18" t="n"/>
      <c r="C247" s="18" t="n"/>
      <c r="D247" s="18" t="n"/>
      <c r="E247" s="18" t="n"/>
      <c r="F247" s="18" t="n"/>
      <c r="G247" s="18" t="n"/>
      <c r="H247" s="18" t="n"/>
      <c r="I247" s="18" t="n"/>
    </row>
    <row r="248">
      <c r="A248" s="17" t="n"/>
      <c r="B248" s="18" t="n"/>
      <c r="C248" s="18" t="n"/>
      <c r="D248" s="18" t="n"/>
      <c r="E248" s="18" t="n"/>
      <c r="F248" s="18" t="n"/>
      <c r="G248" s="18" t="n"/>
      <c r="H248" s="18" t="n"/>
      <c r="I248" s="18" t="n"/>
    </row>
    <row r="249">
      <c r="A249" s="17" t="n"/>
      <c r="B249" s="18" t="n"/>
      <c r="C249" s="18" t="n"/>
      <c r="D249" s="18" t="n"/>
      <c r="E249" s="18" t="n"/>
      <c r="F249" s="18" t="n"/>
      <c r="G249" s="18" t="n"/>
      <c r="H249" s="18" t="n"/>
      <c r="I249" s="18" t="n"/>
    </row>
    <row r="250">
      <c r="A250" s="17" t="n"/>
      <c r="B250" s="18" t="n"/>
      <c r="C250" s="18" t="n"/>
      <c r="D250" s="18" t="n"/>
      <c r="E250" s="18" t="n"/>
      <c r="F250" s="18" t="n"/>
      <c r="G250" s="18" t="n"/>
      <c r="H250" s="18" t="n"/>
      <c r="I250" s="18" t="n"/>
    </row>
    <row r="251">
      <c r="A251" s="17" t="n"/>
      <c r="B251" s="18" t="n"/>
      <c r="C251" s="18" t="n"/>
      <c r="D251" s="18" t="n"/>
      <c r="E251" s="18" t="n"/>
      <c r="F251" s="18" t="n"/>
      <c r="G251" s="18" t="n"/>
      <c r="H251" s="18" t="n"/>
      <c r="I251" s="18" t="n"/>
    </row>
    <row r="252">
      <c r="A252" s="17" t="n"/>
      <c r="B252" s="18" t="n"/>
      <c r="C252" s="18" t="n"/>
      <c r="D252" s="18" t="n"/>
      <c r="E252" s="18" t="n"/>
      <c r="F252" s="18" t="n"/>
      <c r="G252" s="18" t="n"/>
      <c r="H252" s="18" t="n"/>
      <c r="I252" s="18" t="n"/>
    </row>
    <row r="253">
      <c r="A253" s="17" t="n"/>
      <c r="B253" s="18" t="n"/>
      <c r="C253" s="18" t="n"/>
      <c r="D253" s="18" t="n"/>
      <c r="E253" s="18" t="n"/>
      <c r="F253" s="18" t="n"/>
      <c r="G253" s="18" t="n"/>
      <c r="H253" s="18" t="n"/>
      <c r="I253" s="18" t="n"/>
    </row>
    <row r="254">
      <c r="A254" s="17" t="n"/>
      <c r="B254" s="18" t="n"/>
      <c r="C254" s="18" t="n"/>
      <c r="D254" s="18" t="n"/>
      <c r="E254" s="18" t="n"/>
      <c r="F254" s="18" t="n"/>
      <c r="G254" s="18" t="n"/>
      <c r="H254" s="18" t="n"/>
      <c r="I254" s="18" t="n"/>
    </row>
    <row r="255">
      <c r="A255" s="17" t="n"/>
      <c r="B255" s="18" t="n"/>
      <c r="C255" s="18" t="n"/>
      <c r="D255" s="18" t="n"/>
      <c r="E255" s="18" t="n"/>
      <c r="F255" s="18" t="n"/>
      <c r="G255" s="18" t="n"/>
      <c r="H255" s="18" t="n"/>
      <c r="I255" s="18" t="n"/>
    </row>
    <row r="256">
      <c r="A256" s="17" t="n"/>
      <c r="B256" s="18" t="n"/>
      <c r="C256" s="18" t="n"/>
      <c r="D256" s="18" t="n"/>
      <c r="E256" s="18" t="n"/>
      <c r="F256" s="18" t="n"/>
      <c r="G256" s="18" t="n"/>
      <c r="H256" s="18" t="n"/>
      <c r="I256" s="18" t="n"/>
    </row>
    <row r="257">
      <c r="A257" s="17" t="n"/>
      <c r="B257" s="18" t="n"/>
      <c r="C257" s="18" t="n"/>
      <c r="D257" s="18" t="n"/>
      <c r="E257" s="18" t="n"/>
      <c r="F257" s="18" t="n"/>
      <c r="G257" s="18" t="n"/>
      <c r="H257" s="18" t="n"/>
      <c r="I257" s="18" t="n"/>
    </row>
    <row r="258">
      <c r="A258" s="17" t="n"/>
      <c r="B258" s="18" t="n"/>
      <c r="C258" s="18" t="n"/>
      <c r="D258" s="18" t="n"/>
      <c r="E258" s="18" t="n"/>
      <c r="F258" s="18" t="n"/>
      <c r="G258" s="18" t="n"/>
      <c r="H258" s="18" t="n"/>
      <c r="I258" s="18" t="n"/>
    </row>
    <row r="259">
      <c r="A259" s="17" t="n"/>
      <c r="B259" s="18" t="n"/>
      <c r="C259" s="18" t="n"/>
      <c r="D259" s="18" t="n"/>
      <c r="E259" s="18" t="n"/>
      <c r="F259" s="18" t="n"/>
      <c r="G259" s="18" t="n"/>
      <c r="H259" s="18" t="n"/>
      <c r="I259" s="18" t="n"/>
    </row>
    <row r="260">
      <c r="A260" s="17" t="n"/>
      <c r="B260" s="18" t="n"/>
      <c r="C260" s="18" t="n"/>
      <c r="D260" s="18" t="n"/>
      <c r="E260" s="18" t="n"/>
      <c r="F260" s="18" t="n"/>
      <c r="G260" s="18" t="n"/>
      <c r="H260" s="18" t="n"/>
      <c r="I260" s="18" t="n"/>
    </row>
    <row r="261">
      <c r="A261" s="17" t="n"/>
      <c r="B261" s="18" t="n"/>
      <c r="C261" s="18" t="n"/>
      <c r="D261" s="18" t="n"/>
      <c r="E261" s="18" t="n"/>
      <c r="F261" s="18" t="n"/>
      <c r="G261" s="18" t="n"/>
      <c r="H261" s="18" t="n"/>
      <c r="I261" s="18" t="n"/>
    </row>
    <row r="262">
      <c r="A262" s="17" t="n"/>
      <c r="B262" s="18" t="n"/>
      <c r="C262" s="18" t="n"/>
      <c r="D262" s="18" t="n"/>
      <c r="E262" s="18" t="n"/>
      <c r="F262" s="18" t="n"/>
      <c r="G262" s="18" t="n"/>
      <c r="H262" s="18" t="n"/>
      <c r="I262" s="18" t="n"/>
    </row>
    <row r="263">
      <c r="A263" s="17" t="n"/>
      <c r="B263" s="18" t="n"/>
      <c r="C263" s="18" t="n"/>
      <c r="D263" s="18" t="n"/>
      <c r="E263" s="18" t="n"/>
      <c r="F263" s="18" t="n"/>
      <c r="G263" s="18" t="n"/>
      <c r="H263" s="18" t="n"/>
      <c r="I263" s="18" t="n"/>
    </row>
    <row r="264">
      <c r="A264" s="17" t="n"/>
      <c r="B264" s="18" t="n"/>
      <c r="C264" s="18" t="n"/>
      <c r="D264" s="18" t="n"/>
      <c r="E264" s="18" t="n"/>
      <c r="F264" s="18" t="n"/>
      <c r="G264" s="18" t="n"/>
      <c r="H264" s="18" t="n"/>
      <c r="I264" s="18" t="n"/>
    </row>
    <row r="265">
      <c r="A265" s="17" t="n"/>
      <c r="B265" s="18" t="n"/>
      <c r="C265" s="18" t="n"/>
      <c r="D265" s="18" t="n"/>
      <c r="E265" s="18" t="n"/>
      <c r="F265" s="18" t="n"/>
      <c r="G265" s="18" t="n"/>
      <c r="H265" s="18" t="n"/>
      <c r="I265" s="18" t="n"/>
    </row>
    <row r="266">
      <c r="A266" s="17" t="n"/>
      <c r="B266" s="18" t="n"/>
      <c r="C266" s="18" t="n"/>
      <c r="D266" s="18" t="n"/>
      <c r="E266" s="18" t="n"/>
      <c r="F266" s="18" t="n"/>
      <c r="G266" s="18" t="n"/>
      <c r="H266" s="18" t="n"/>
      <c r="I266" s="18" t="n"/>
    </row>
    <row r="267">
      <c r="A267" s="17" t="n"/>
      <c r="B267" s="18" t="n"/>
      <c r="C267" s="18" t="n"/>
      <c r="D267" s="18" t="n"/>
      <c r="E267" s="18" t="n"/>
      <c r="F267" s="18" t="n"/>
      <c r="G267" s="18" t="n"/>
      <c r="H267" s="18" t="n"/>
      <c r="I267" s="18" t="n"/>
    </row>
    <row r="268">
      <c r="A268" s="17" t="n"/>
      <c r="B268" s="18" t="n"/>
      <c r="C268" s="18" t="n"/>
      <c r="D268" s="18" t="n"/>
      <c r="E268" s="18" t="n"/>
      <c r="F268" s="18" t="n"/>
      <c r="G268" s="18" t="n"/>
      <c r="H268" s="18" t="n"/>
      <c r="I268" s="18" t="n"/>
    </row>
    <row r="269">
      <c r="A269" s="17" t="n"/>
      <c r="B269" s="18" t="n"/>
      <c r="C269" s="18" t="n"/>
      <c r="D269" s="18" t="n"/>
      <c r="E269" s="18" t="n"/>
      <c r="F269" s="18" t="n"/>
      <c r="G269" s="18" t="n"/>
      <c r="H269" s="18" t="n"/>
      <c r="I269" s="18" t="n"/>
    </row>
    <row r="270">
      <c r="A270" s="17" t="n"/>
      <c r="B270" s="18" t="n"/>
      <c r="C270" s="18" t="n"/>
      <c r="D270" s="18" t="n"/>
      <c r="E270" s="18" t="n"/>
      <c r="F270" s="18" t="n"/>
      <c r="G270" s="18" t="n"/>
      <c r="H270" s="18" t="n"/>
      <c r="I270" s="18" t="n"/>
    </row>
    <row r="271">
      <c r="A271" s="17" t="n"/>
      <c r="B271" s="18" t="n"/>
      <c r="C271" s="18" t="n"/>
      <c r="D271" s="18" t="n"/>
      <c r="E271" s="18" t="n"/>
      <c r="F271" s="18" t="n"/>
      <c r="G271" s="18" t="n"/>
      <c r="H271" s="18" t="n"/>
      <c r="I271" s="18" t="n"/>
    </row>
    <row r="272">
      <c r="A272" s="17" t="n"/>
      <c r="B272" s="18" t="n"/>
      <c r="C272" s="18" t="n"/>
      <c r="D272" s="18" t="n"/>
      <c r="E272" s="18" t="n"/>
      <c r="F272" s="18" t="n"/>
      <c r="G272" s="18" t="n"/>
      <c r="H272" s="18" t="n"/>
      <c r="I272" s="18" t="n"/>
    </row>
    <row r="273">
      <c r="A273" s="17" t="n"/>
      <c r="B273" s="18" t="n"/>
      <c r="C273" s="18" t="n"/>
      <c r="D273" s="18" t="n"/>
      <c r="E273" s="18" t="n"/>
      <c r="F273" s="18" t="n"/>
      <c r="G273" s="18" t="n"/>
      <c r="H273" s="18" t="n"/>
      <c r="I273" s="18" t="n"/>
    </row>
    <row r="274">
      <c r="A274" s="17" t="n"/>
      <c r="B274" s="18" t="n"/>
      <c r="C274" s="18" t="n"/>
      <c r="D274" s="18" t="n"/>
      <c r="E274" s="18" t="n"/>
      <c r="F274" s="18" t="n"/>
      <c r="G274" s="18" t="n"/>
      <c r="H274" s="18" t="n"/>
      <c r="I274" s="18" t="n"/>
    </row>
    <row r="275">
      <c r="A275" s="17" t="n"/>
      <c r="B275" s="18" t="n"/>
      <c r="C275" s="18" t="n"/>
      <c r="D275" s="18" t="n"/>
      <c r="E275" s="18" t="n"/>
      <c r="F275" s="18" t="n"/>
      <c r="G275" s="18" t="n"/>
      <c r="H275" s="18" t="n"/>
      <c r="I275" s="18" t="n"/>
    </row>
    <row r="276">
      <c r="A276" s="17" t="n"/>
      <c r="B276" s="18" t="n"/>
      <c r="C276" s="18" t="n"/>
      <c r="D276" s="18" t="n"/>
      <c r="E276" s="18" t="n"/>
      <c r="F276" s="18" t="n"/>
      <c r="G276" s="18" t="n"/>
      <c r="H276" s="18" t="n"/>
      <c r="I276" s="18" t="n"/>
    </row>
    <row r="277">
      <c r="A277" s="17" t="n"/>
      <c r="B277" s="18" t="n"/>
      <c r="C277" s="18" t="n"/>
      <c r="D277" s="18" t="n"/>
      <c r="E277" s="18" t="n"/>
      <c r="F277" s="18" t="n"/>
      <c r="G277" s="18" t="n"/>
      <c r="H277" s="18" t="n"/>
      <c r="I277" s="18" t="n"/>
    </row>
    <row r="278">
      <c r="A278" s="17" t="n"/>
      <c r="B278" s="18" t="n"/>
      <c r="C278" s="18" t="n"/>
      <c r="D278" s="18" t="n"/>
      <c r="E278" s="18" t="n"/>
      <c r="F278" s="18" t="n"/>
      <c r="G278" s="18" t="n"/>
      <c r="H278" s="18" t="n"/>
      <c r="I278" s="18" t="n"/>
    </row>
    <row r="279">
      <c r="A279" s="17" t="n"/>
      <c r="B279" s="18" t="n"/>
      <c r="C279" s="18" t="n"/>
      <c r="D279" s="18" t="n"/>
      <c r="E279" s="18" t="n"/>
      <c r="F279" s="18" t="n"/>
      <c r="G279" s="18" t="n"/>
      <c r="H279" s="18" t="n"/>
      <c r="I279" s="18" t="n"/>
    </row>
    <row r="280">
      <c r="A280" s="17" t="n"/>
      <c r="B280" s="18" t="n"/>
      <c r="C280" s="18" t="n"/>
      <c r="D280" s="18" t="n"/>
      <c r="E280" s="18" t="n"/>
      <c r="F280" s="18" t="n"/>
      <c r="G280" s="18" t="n"/>
      <c r="H280" s="18" t="n"/>
      <c r="I280" s="18" t="n"/>
    </row>
    <row r="281">
      <c r="A281" s="17" t="n"/>
      <c r="B281" s="18" t="n"/>
      <c r="C281" s="18" t="n"/>
      <c r="D281" s="18" t="n"/>
      <c r="E281" s="18" t="n"/>
      <c r="F281" s="18" t="n"/>
      <c r="G281" s="18" t="n"/>
      <c r="H281" s="18" t="n"/>
      <c r="I281" s="18" t="n"/>
    </row>
    <row r="282">
      <c r="A282" s="17" t="n"/>
      <c r="B282" s="18" t="n"/>
      <c r="C282" s="18" t="n"/>
      <c r="D282" s="18" t="n"/>
      <c r="E282" s="18" t="n"/>
      <c r="F282" s="18" t="n"/>
      <c r="G282" s="18" t="n"/>
      <c r="H282" s="18" t="n"/>
      <c r="I282" s="18" t="n"/>
    </row>
    <row r="283">
      <c r="A283" s="17" t="n"/>
      <c r="B283" s="18" t="n"/>
      <c r="C283" s="18" t="n"/>
      <c r="D283" s="18" t="n"/>
      <c r="E283" s="18" t="n"/>
      <c r="F283" s="18" t="n"/>
      <c r="G283" s="18" t="n"/>
      <c r="H283" s="18" t="n"/>
      <c r="I283" s="18" t="n"/>
    </row>
    <row r="284">
      <c r="A284" s="17" t="n"/>
      <c r="B284" s="18" t="n"/>
      <c r="C284" s="18" t="n"/>
      <c r="D284" s="18" t="n"/>
      <c r="E284" s="18" t="n"/>
      <c r="F284" s="18" t="n"/>
      <c r="G284" s="18" t="n"/>
      <c r="H284" s="18" t="n"/>
      <c r="I284" s="18" t="n"/>
    </row>
    <row r="285">
      <c r="A285" s="17" t="n"/>
      <c r="B285" s="18" t="n"/>
      <c r="C285" s="18" t="n"/>
      <c r="D285" s="18" t="n"/>
      <c r="E285" s="18" t="n"/>
      <c r="F285" s="18" t="n"/>
      <c r="G285" s="18" t="n"/>
      <c r="H285" s="18" t="n"/>
      <c r="I285" s="18" t="n"/>
    </row>
    <row r="286">
      <c r="A286" s="17" t="n"/>
      <c r="B286" s="18" t="n"/>
      <c r="C286" s="18" t="n"/>
      <c r="D286" s="18" t="n"/>
      <c r="E286" s="18" t="n"/>
      <c r="F286" s="18" t="n"/>
      <c r="G286" s="18" t="n"/>
      <c r="H286" s="18" t="n"/>
      <c r="I286" s="18" t="n"/>
    </row>
    <row r="287">
      <c r="A287" s="17" t="n"/>
      <c r="B287" s="18" t="n"/>
      <c r="C287" s="18" t="n"/>
      <c r="D287" s="18" t="n"/>
      <c r="E287" s="18" t="n"/>
      <c r="F287" s="18" t="n"/>
      <c r="G287" s="18" t="n"/>
      <c r="H287" s="18" t="n"/>
      <c r="I287" s="18" t="n"/>
    </row>
    <row r="288">
      <c r="A288" s="17" t="n"/>
      <c r="B288" s="18" t="n"/>
      <c r="C288" s="18" t="n"/>
      <c r="D288" s="18" t="n"/>
      <c r="E288" s="18" t="n"/>
      <c r="F288" s="18" t="n"/>
      <c r="G288" s="18" t="n"/>
      <c r="H288" s="18" t="n"/>
      <c r="I288" s="18" t="n"/>
    </row>
    <row r="289">
      <c r="A289" s="17" t="n"/>
      <c r="B289" s="18" t="n"/>
      <c r="C289" s="18" t="n"/>
      <c r="D289" s="18" t="n"/>
      <c r="E289" s="18" t="n"/>
      <c r="F289" s="18" t="n"/>
      <c r="G289" s="18" t="n"/>
      <c r="H289" s="18" t="n"/>
      <c r="I289" s="18" t="n"/>
    </row>
    <row r="290">
      <c r="A290" s="17" t="n"/>
      <c r="B290" s="18" t="n"/>
      <c r="C290" s="18" t="n"/>
      <c r="D290" s="18" t="n"/>
      <c r="E290" s="18" t="n"/>
      <c r="F290" s="18" t="n"/>
      <c r="G290" s="18" t="n"/>
      <c r="H290" s="18" t="n"/>
      <c r="I290" s="18" t="n"/>
    </row>
    <row r="291">
      <c r="A291" s="17" t="n"/>
      <c r="B291" s="18" t="n"/>
      <c r="C291" s="18" t="n"/>
      <c r="D291" s="18" t="n"/>
      <c r="E291" s="18" t="n"/>
      <c r="F291" s="18" t="n"/>
      <c r="G291" s="18" t="n"/>
      <c r="H291" s="18" t="n"/>
      <c r="I291" s="18" t="n"/>
    </row>
    <row r="292">
      <c r="A292" s="17" t="n"/>
      <c r="B292" s="18" t="n"/>
      <c r="C292" s="18" t="n"/>
      <c r="D292" s="18" t="n"/>
      <c r="E292" s="18" t="n"/>
      <c r="F292" s="18" t="n"/>
      <c r="G292" s="18" t="n"/>
      <c r="H292" s="18" t="n"/>
      <c r="I292" s="18" t="n"/>
    </row>
    <row r="293">
      <c r="A293" s="17" t="n"/>
      <c r="B293" s="18" t="n"/>
      <c r="C293" s="18" t="n"/>
      <c r="D293" s="18" t="n"/>
      <c r="E293" s="18" t="n"/>
      <c r="F293" s="18" t="n"/>
      <c r="G293" s="18" t="n"/>
      <c r="H293" s="18" t="n"/>
      <c r="I293" s="18" t="n"/>
    </row>
    <row r="294">
      <c r="A294" s="17" t="n"/>
      <c r="B294" s="18" t="n"/>
      <c r="C294" s="18" t="n"/>
      <c r="D294" s="18" t="n"/>
      <c r="E294" s="18" t="n"/>
      <c r="F294" s="18" t="n"/>
      <c r="G294" s="18" t="n"/>
      <c r="H294" s="18" t="n"/>
      <c r="I294" s="18" t="n"/>
    </row>
    <row r="295">
      <c r="A295" s="17" t="n"/>
      <c r="B295" s="18" t="n"/>
      <c r="C295" s="18" t="n"/>
      <c r="D295" s="18" t="n"/>
      <c r="E295" s="18" t="n"/>
      <c r="F295" s="18" t="n"/>
      <c r="G295" s="18" t="n"/>
      <c r="H295" s="18" t="n"/>
      <c r="I295" s="18" t="n"/>
    </row>
    <row r="296">
      <c r="A296" s="17" t="n"/>
      <c r="B296" s="18" t="n"/>
      <c r="C296" s="18" t="n"/>
      <c r="D296" s="18" t="n"/>
      <c r="E296" s="18" t="n"/>
      <c r="F296" s="18" t="n"/>
      <c r="G296" s="18" t="n"/>
      <c r="H296" s="18" t="n"/>
      <c r="I296" s="18" t="n"/>
    </row>
    <row r="297">
      <c r="A297" s="17" t="n"/>
      <c r="B297" s="18" t="n"/>
      <c r="C297" s="18" t="n"/>
      <c r="D297" s="18" t="n"/>
      <c r="E297" s="18" t="n"/>
      <c r="F297" s="18" t="n"/>
      <c r="G297" s="18" t="n"/>
      <c r="H297" s="18" t="n"/>
      <c r="I297" s="18" t="n"/>
    </row>
    <row r="298">
      <c r="A298" s="17" t="n"/>
      <c r="B298" s="18" t="n"/>
      <c r="C298" s="18" t="n"/>
      <c r="D298" s="18" t="n"/>
      <c r="E298" s="18" t="n"/>
      <c r="F298" s="18" t="n"/>
      <c r="G298" s="18" t="n"/>
      <c r="H298" s="18" t="n"/>
      <c r="I298" s="18" t="n"/>
    </row>
    <row r="299">
      <c r="A299" s="17" t="n"/>
      <c r="B299" s="18" t="n"/>
      <c r="C299" s="18" t="n"/>
      <c r="D299" s="18" t="n"/>
      <c r="E299" s="18" t="n"/>
      <c r="F299" s="18" t="n"/>
      <c r="G299" s="18" t="n"/>
      <c r="H299" s="18" t="n"/>
      <c r="I299" s="18" t="n"/>
    </row>
    <row r="300">
      <c r="A300" s="17" t="n"/>
      <c r="B300" s="18" t="n"/>
      <c r="C300" s="18" t="n"/>
      <c r="D300" s="18" t="n"/>
      <c r="E300" s="18" t="n"/>
      <c r="F300" s="18" t="n"/>
      <c r="G300" s="18" t="n"/>
      <c r="H300" s="18" t="n"/>
      <c r="I300" s="18" t="n"/>
    </row>
    <row r="301">
      <c r="A301" s="17" t="n"/>
      <c r="B301" s="18" t="n"/>
      <c r="C301" s="18" t="n"/>
      <c r="D301" s="18" t="n"/>
      <c r="E301" s="18" t="n"/>
      <c r="F301" s="18" t="n"/>
      <c r="G301" s="18" t="n"/>
      <c r="H301" s="18" t="n"/>
      <c r="I301" s="18" t="n"/>
    </row>
    <row r="302">
      <c r="A302" s="17" t="n"/>
      <c r="B302" s="18" t="n"/>
      <c r="C302" s="18" t="n"/>
      <c r="D302" s="18" t="n"/>
      <c r="E302" s="18" t="n"/>
      <c r="F302" s="18" t="n"/>
      <c r="G302" s="18" t="n"/>
      <c r="H302" s="18" t="n"/>
      <c r="I302" s="18" t="n"/>
    </row>
    <row r="303">
      <c r="A303" s="17" t="n"/>
      <c r="B303" s="18" t="n"/>
      <c r="C303" s="18" t="n"/>
      <c r="D303" s="18" t="n"/>
      <c r="E303" s="18" t="n"/>
      <c r="F303" s="18" t="n"/>
      <c r="G303" s="18" t="n"/>
      <c r="H303" s="18" t="n"/>
      <c r="I303" s="18" t="n"/>
    </row>
    <row r="304">
      <c r="A304" s="17" t="n"/>
      <c r="B304" s="18" t="n"/>
      <c r="C304" s="18" t="n"/>
      <c r="D304" s="18" t="n"/>
      <c r="E304" s="18" t="n"/>
      <c r="F304" s="18" t="n"/>
      <c r="G304" s="18" t="n"/>
      <c r="H304" s="18" t="n"/>
      <c r="I304" s="18" t="n"/>
    </row>
    <row r="305">
      <c r="A305" s="17" t="n"/>
      <c r="B305" s="18" t="n"/>
      <c r="C305" s="18" t="n"/>
      <c r="D305" s="18" t="n"/>
      <c r="E305" s="18" t="n"/>
      <c r="F305" s="18" t="n"/>
      <c r="G305" s="18" t="n"/>
      <c r="H305" s="18" t="n"/>
      <c r="I305" s="18" t="n"/>
    </row>
    <row r="306">
      <c r="A306" s="17" t="n"/>
      <c r="B306" s="18" t="n"/>
      <c r="C306" s="18" t="n"/>
      <c r="D306" s="18" t="n"/>
      <c r="E306" s="18" t="n"/>
      <c r="F306" s="18" t="n"/>
      <c r="G306" s="18" t="n"/>
      <c r="H306" s="18" t="n"/>
      <c r="I306" s="18" t="n"/>
    </row>
    <row r="307">
      <c r="A307" s="17" t="n"/>
      <c r="B307" s="18" t="n"/>
      <c r="C307" s="18" t="n"/>
      <c r="D307" s="18" t="n"/>
      <c r="E307" s="18" t="n"/>
      <c r="F307" s="18" t="n"/>
      <c r="G307" s="18" t="n"/>
      <c r="H307" s="18" t="n"/>
      <c r="I307" s="18" t="n"/>
    </row>
    <row r="308">
      <c r="A308" s="17" t="n"/>
      <c r="B308" s="18" t="n"/>
      <c r="C308" s="18" t="n"/>
      <c r="D308" s="18" t="n"/>
      <c r="E308" s="18" t="n"/>
      <c r="F308" s="18" t="n"/>
      <c r="G308" s="18" t="n"/>
      <c r="H308" s="18" t="n"/>
      <c r="I308" s="18" t="n"/>
    </row>
    <row r="309">
      <c r="A309" s="17" t="n"/>
      <c r="B309" s="18" t="n"/>
      <c r="C309" s="18" t="n"/>
      <c r="D309" s="18" t="n"/>
      <c r="E309" s="18" t="n"/>
      <c r="F309" s="18" t="n"/>
      <c r="G309" s="18" t="n"/>
      <c r="H309" s="18" t="n"/>
      <c r="I309" s="18" t="n"/>
    </row>
    <row r="310">
      <c r="A310" s="17" t="n"/>
      <c r="B310" s="18" t="n"/>
      <c r="C310" s="18" t="n"/>
      <c r="D310" s="18" t="n"/>
      <c r="E310" s="18" t="n"/>
      <c r="F310" s="18" t="n"/>
      <c r="G310" s="18" t="n"/>
      <c r="H310" s="18" t="n"/>
      <c r="I310" s="18" t="n"/>
    </row>
    <row r="311">
      <c r="A311" s="17" t="n"/>
      <c r="B311" s="18" t="n"/>
      <c r="C311" s="18" t="n"/>
      <c r="D311" s="18" t="n"/>
      <c r="E311" s="18" t="n"/>
      <c r="F311" s="18" t="n"/>
      <c r="G311" s="18" t="n"/>
      <c r="H311" s="18" t="n"/>
      <c r="I311" s="18" t="n"/>
    </row>
    <row r="312">
      <c r="A312" s="17" t="n"/>
      <c r="B312" s="18" t="n"/>
      <c r="C312" s="18" t="n"/>
      <c r="D312" s="18" t="n"/>
      <c r="E312" s="18" t="n"/>
      <c r="F312" s="18" t="n"/>
      <c r="G312" s="18" t="n"/>
      <c r="H312" s="18" t="n"/>
      <c r="I312" s="18" t="n"/>
    </row>
    <row r="313">
      <c r="A313" s="17" t="n"/>
      <c r="B313" s="18" t="n"/>
      <c r="C313" s="18" t="n"/>
      <c r="D313" s="18" t="n"/>
      <c r="E313" s="18" t="n"/>
      <c r="F313" s="18" t="n"/>
      <c r="G313" s="18" t="n"/>
      <c r="H313" s="18" t="n"/>
      <c r="I313" s="18" t="n"/>
    </row>
    <row r="314">
      <c r="A314" s="17" t="n"/>
      <c r="B314" s="18" t="n"/>
      <c r="C314" s="18" t="n"/>
      <c r="D314" s="18" t="n"/>
      <c r="E314" s="18" t="n"/>
      <c r="F314" s="18" t="n"/>
      <c r="G314" s="18" t="n"/>
      <c r="H314" s="18" t="n"/>
      <c r="I314" s="18" t="n"/>
    </row>
    <row r="315">
      <c r="A315" s="17" t="n"/>
      <c r="B315" s="18" t="n"/>
      <c r="C315" s="18" t="n"/>
      <c r="D315" s="18" t="n"/>
      <c r="E315" s="18" t="n"/>
      <c r="F315" s="18" t="n"/>
      <c r="G315" s="18" t="n"/>
      <c r="H315" s="18" t="n"/>
      <c r="I315" s="18" t="n"/>
    </row>
    <row r="316">
      <c r="A316" s="17" t="n"/>
      <c r="B316" s="18" t="n"/>
      <c r="C316" s="18" t="n"/>
      <c r="D316" s="18" t="n"/>
      <c r="E316" s="18" t="n"/>
      <c r="F316" s="18" t="n"/>
      <c r="G316" s="18" t="n"/>
      <c r="H316" s="18" t="n"/>
      <c r="I316" s="18" t="n"/>
    </row>
    <row r="317">
      <c r="A317" s="17" t="n"/>
      <c r="B317" s="18" t="n"/>
      <c r="C317" s="18" t="n"/>
      <c r="D317" s="18" t="n"/>
      <c r="E317" s="18" t="n"/>
      <c r="F317" s="18" t="n"/>
      <c r="G317" s="18" t="n"/>
      <c r="H317" s="18" t="n"/>
      <c r="I317" s="18" t="n"/>
    </row>
    <row r="318">
      <c r="A318" s="17" t="n"/>
      <c r="B318" s="18" t="n"/>
      <c r="C318" s="18" t="n"/>
      <c r="D318" s="18" t="n"/>
      <c r="E318" s="18" t="n"/>
      <c r="F318" s="18" t="n"/>
      <c r="G318" s="18" t="n"/>
      <c r="H318" s="18" t="n"/>
      <c r="I318" s="18" t="n"/>
    </row>
    <row r="319">
      <c r="A319" s="17" t="n"/>
      <c r="B319" s="18" t="n"/>
      <c r="C319" s="18" t="n"/>
      <c r="D319" s="18" t="n"/>
      <c r="E319" s="18" t="n"/>
      <c r="F319" s="18" t="n"/>
      <c r="G319" s="18" t="n"/>
      <c r="H319" s="18" t="n"/>
      <c r="I319" s="18" t="n"/>
    </row>
    <row r="320">
      <c r="A320" s="17" t="n"/>
      <c r="B320" s="18" t="n"/>
      <c r="C320" s="18" t="n"/>
      <c r="D320" s="18" t="n"/>
      <c r="E320" s="18" t="n"/>
      <c r="F320" s="18" t="n"/>
      <c r="G320" s="18" t="n"/>
      <c r="H320" s="18" t="n"/>
      <c r="I320" s="18" t="n"/>
    </row>
    <row r="321">
      <c r="A321" s="17" t="n"/>
      <c r="B321" s="18" t="n"/>
      <c r="C321" s="18" t="n"/>
      <c r="D321" s="18" t="n"/>
      <c r="E321" s="18" t="n"/>
      <c r="F321" s="18" t="n"/>
      <c r="G321" s="18" t="n"/>
      <c r="H321" s="18" t="n"/>
      <c r="I321" s="18" t="n"/>
    </row>
    <row r="322">
      <c r="A322" s="17" t="n"/>
      <c r="B322" s="18" t="n"/>
      <c r="C322" s="18" t="n"/>
      <c r="D322" s="18" t="n"/>
      <c r="E322" s="18" t="n"/>
      <c r="F322" s="18" t="n"/>
      <c r="G322" s="18" t="n"/>
      <c r="H322" s="18" t="n"/>
      <c r="I322" s="18" t="n"/>
    </row>
    <row r="323">
      <c r="A323" s="17" t="n"/>
      <c r="B323" s="18" t="n"/>
      <c r="C323" s="18" t="n"/>
      <c r="D323" s="18" t="n"/>
      <c r="E323" s="18" t="n"/>
      <c r="F323" s="18" t="n"/>
      <c r="G323" s="18" t="n"/>
      <c r="H323" s="18" t="n"/>
      <c r="I323" s="18" t="n"/>
    </row>
    <row r="324">
      <c r="A324" s="17" t="n"/>
      <c r="B324" s="18" t="n"/>
      <c r="C324" s="18" t="n"/>
      <c r="D324" s="18" t="n"/>
      <c r="E324" s="18" t="n"/>
      <c r="F324" s="18" t="n"/>
      <c r="G324" s="18" t="n"/>
      <c r="H324" s="18" t="n"/>
      <c r="I324" s="18" t="n"/>
    </row>
    <row r="325">
      <c r="A325" s="17" t="n"/>
      <c r="B325" s="18" t="n"/>
      <c r="C325" s="18" t="n"/>
      <c r="D325" s="18" t="n"/>
      <c r="E325" s="18" t="n"/>
      <c r="F325" s="18" t="n"/>
      <c r="G325" s="18" t="n"/>
      <c r="H325" s="18" t="n"/>
      <c r="I325" s="18" t="n"/>
    </row>
    <row r="326">
      <c r="A326" s="17" t="n"/>
      <c r="B326" s="18" t="n"/>
      <c r="C326" s="18" t="n"/>
      <c r="D326" s="18" t="n"/>
      <c r="E326" s="18" t="n"/>
      <c r="F326" s="18" t="n"/>
      <c r="G326" s="18" t="n"/>
      <c r="H326" s="18" t="n"/>
      <c r="I326" s="18" t="n"/>
    </row>
    <row r="327">
      <c r="A327" s="17" t="n"/>
      <c r="B327" s="18" t="n"/>
      <c r="C327" s="18" t="n"/>
      <c r="D327" s="18" t="n"/>
      <c r="E327" s="18" t="n"/>
      <c r="F327" s="18" t="n"/>
      <c r="G327" s="18" t="n"/>
      <c r="H327" s="18" t="n"/>
      <c r="I327" s="18" t="n"/>
    </row>
    <row r="328">
      <c r="A328" s="17" t="n"/>
      <c r="B328" s="18" t="n"/>
      <c r="C328" s="18" t="n"/>
      <c r="D328" s="18" t="n"/>
      <c r="E328" s="18" t="n"/>
      <c r="F328" s="18" t="n"/>
      <c r="G328" s="18" t="n"/>
      <c r="H328" s="18" t="n"/>
      <c r="I328" s="18" t="n"/>
    </row>
    <row r="329">
      <c r="A329" s="17" t="n"/>
      <c r="B329" s="18" t="n"/>
      <c r="C329" s="18" t="n"/>
      <c r="D329" s="18" t="n"/>
      <c r="E329" s="18" t="n"/>
      <c r="F329" s="18" t="n"/>
      <c r="G329" s="18" t="n"/>
      <c r="H329" s="18" t="n"/>
      <c r="I329" s="18" t="n"/>
    </row>
    <row r="330">
      <c r="A330" s="17" t="n"/>
      <c r="B330" s="18" t="n"/>
      <c r="C330" s="18" t="n"/>
      <c r="D330" s="18" t="n"/>
      <c r="E330" s="18" t="n"/>
      <c r="F330" s="18" t="n"/>
      <c r="G330" s="18" t="n"/>
      <c r="H330" s="18" t="n"/>
      <c r="I330" s="18" t="n"/>
    </row>
    <row r="331">
      <c r="A331" s="17" t="n"/>
      <c r="B331" s="18" t="n"/>
      <c r="C331" s="18" t="n"/>
      <c r="D331" s="18" t="n"/>
      <c r="E331" s="18" t="n"/>
      <c r="F331" s="18" t="n"/>
      <c r="G331" s="18" t="n"/>
      <c r="H331" s="18" t="n"/>
      <c r="I331" s="18" t="n"/>
    </row>
    <row r="332">
      <c r="A332" s="17" t="n"/>
      <c r="B332" s="18" t="n"/>
      <c r="C332" s="18" t="n"/>
      <c r="D332" s="18" t="n"/>
      <c r="E332" s="18" t="n"/>
      <c r="F332" s="18" t="n"/>
      <c r="G332" s="18" t="n"/>
      <c r="H332" s="18" t="n"/>
      <c r="I332" s="18" t="n"/>
    </row>
    <row r="333">
      <c r="A333" s="17" t="n"/>
      <c r="B333" s="18" t="n"/>
      <c r="C333" s="18" t="n"/>
      <c r="D333" s="18" t="n"/>
      <c r="E333" s="18" t="n"/>
      <c r="F333" s="18" t="n"/>
      <c r="G333" s="18" t="n"/>
      <c r="H333" s="18" t="n"/>
      <c r="I333" s="18" t="n"/>
    </row>
    <row r="334">
      <c r="A334" s="17" t="n"/>
      <c r="B334" s="18" t="n"/>
      <c r="C334" s="18" t="n"/>
      <c r="D334" s="18" t="n"/>
      <c r="E334" s="18" t="n"/>
      <c r="F334" s="18" t="n"/>
      <c r="G334" s="18" t="n"/>
      <c r="H334" s="18" t="n"/>
      <c r="I334" s="18" t="n"/>
    </row>
    <row r="335">
      <c r="A335" s="17" t="n"/>
      <c r="B335" s="18" t="n"/>
      <c r="C335" s="18" t="n"/>
      <c r="D335" s="18" t="n"/>
      <c r="E335" s="18" t="n"/>
      <c r="F335" s="18" t="n"/>
      <c r="G335" s="18" t="n"/>
      <c r="H335" s="18" t="n"/>
      <c r="I335" s="18" t="n"/>
    </row>
    <row r="336">
      <c r="A336" s="17" t="n"/>
      <c r="B336" s="18" t="n"/>
      <c r="C336" s="18" t="n"/>
      <c r="D336" s="18" t="n"/>
      <c r="E336" s="18" t="n"/>
      <c r="F336" s="18" t="n"/>
      <c r="G336" s="18" t="n"/>
      <c r="H336" s="18" t="n"/>
      <c r="I336" s="18" t="n"/>
    </row>
    <row r="337">
      <c r="A337" s="17" t="n"/>
      <c r="B337" s="18" t="n"/>
      <c r="C337" s="18" t="n"/>
      <c r="D337" s="18" t="n"/>
      <c r="E337" s="18" t="n"/>
      <c r="F337" s="18" t="n"/>
      <c r="G337" s="18" t="n"/>
      <c r="H337" s="18" t="n"/>
      <c r="I337" s="18" t="n"/>
    </row>
    <row r="338">
      <c r="A338" s="17" t="n"/>
      <c r="B338" s="18" t="n"/>
      <c r="C338" s="18" t="n"/>
      <c r="D338" s="18" t="n"/>
      <c r="E338" s="18" t="n"/>
      <c r="F338" s="18" t="n"/>
      <c r="G338" s="18" t="n"/>
      <c r="H338" s="18" t="n"/>
      <c r="I338" s="18" t="n"/>
    </row>
    <row r="339">
      <c r="A339" s="17" t="n"/>
      <c r="B339" s="18" t="n"/>
      <c r="C339" s="18" t="n"/>
      <c r="D339" s="18" t="n"/>
      <c r="E339" s="18" t="n"/>
      <c r="F339" s="18" t="n"/>
      <c r="G339" s="18" t="n"/>
      <c r="H339" s="18" t="n"/>
      <c r="I339" s="18" t="n"/>
    </row>
    <row r="340">
      <c r="A340" s="17" t="n"/>
      <c r="B340" s="18" t="n"/>
      <c r="C340" s="18" t="n"/>
      <c r="D340" s="18" t="n"/>
      <c r="E340" s="18" t="n"/>
      <c r="F340" s="18" t="n"/>
      <c r="G340" s="18" t="n"/>
      <c r="H340" s="18" t="n"/>
      <c r="I340" s="18" t="n"/>
    </row>
    <row r="341">
      <c r="A341" s="17" t="n"/>
      <c r="B341" s="18" t="n"/>
      <c r="C341" s="18" t="n"/>
      <c r="D341" s="18" t="n"/>
      <c r="E341" s="18" t="n"/>
      <c r="F341" s="18" t="n"/>
      <c r="G341" s="18" t="n"/>
      <c r="H341" s="18" t="n"/>
      <c r="I341" s="18" t="n"/>
    </row>
    <row r="342">
      <c r="A342" s="17" t="n"/>
      <c r="B342" s="18" t="n"/>
      <c r="C342" s="18" t="n"/>
      <c r="D342" s="18" t="n"/>
      <c r="E342" s="18" t="n"/>
      <c r="F342" s="18" t="n"/>
      <c r="G342" s="18" t="n"/>
      <c r="H342" s="18" t="n"/>
      <c r="I342" s="18" t="n"/>
    </row>
    <row r="343">
      <c r="A343" s="17" t="n"/>
      <c r="B343" s="18" t="n"/>
      <c r="C343" s="18" t="n"/>
      <c r="D343" s="18" t="n"/>
      <c r="E343" s="18" t="n"/>
      <c r="F343" s="18" t="n"/>
      <c r="G343" s="18" t="n"/>
      <c r="H343" s="18" t="n"/>
      <c r="I343" s="18" t="n"/>
    </row>
    <row r="344">
      <c r="A344" s="17" t="n"/>
      <c r="B344" s="18" t="n"/>
      <c r="C344" s="18" t="n"/>
      <c r="D344" s="18" t="n"/>
      <c r="E344" s="18" t="n"/>
      <c r="F344" s="18" t="n"/>
      <c r="G344" s="18" t="n"/>
      <c r="H344" s="18" t="n"/>
      <c r="I344" s="18" t="n"/>
    </row>
    <row r="345">
      <c r="A345" s="17" t="n"/>
      <c r="B345" s="18" t="n"/>
      <c r="C345" s="18" t="n"/>
      <c r="D345" s="18" t="n"/>
      <c r="E345" s="18" t="n"/>
      <c r="F345" s="18" t="n"/>
      <c r="G345" s="18" t="n"/>
      <c r="H345" s="18" t="n"/>
      <c r="I345" s="18" t="n"/>
    </row>
    <row r="346">
      <c r="A346" s="17" t="n"/>
      <c r="B346" s="18" t="n"/>
      <c r="C346" s="18" t="n"/>
      <c r="D346" s="18" t="n"/>
      <c r="E346" s="18" t="n"/>
      <c r="F346" s="18" t="n"/>
      <c r="G346" s="18" t="n"/>
      <c r="H346" s="18" t="n"/>
      <c r="I346" s="18" t="n"/>
    </row>
    <row r="347">
      <c r="A347" s="17" t="n"/>
      <c r="B347" s="18" t="n"/>
      <c r="C347" s="18" t="n"/>
      <c r="D347" s="18" t="n"/>
      <c r="E347" s="18" t="n"/>
      <c r="F347" s="18" t="n"/>
      <c r="G347" s="18" t="n"/>
      <c r="H347" s="18" t="n"/>
      <c r="I347" s="18" t="n"/>
    </row>
    <row r="348">
      <c r="A348" s="17" t="n"/>
      <c r="B348" s="18" t="n"/>
      <c r="C348" s="18" t="n"/>
      <c r="D348" s="18" t="n"/>
      <c r="E348" s="18" t="n"/>
      <c r="F348" s="18" t="n"/>
      <c r="G348" s="18" t="n"/>
      <c r="H348" s="18" t="n"/>
      <c r="I348" s="18" t="n"/>
    </row>
    <row r="349">
      <c r="A349" s="17" t="n"/>
      <c r="B349" s="18" t="n"/>
      <c r="C349" s="18" t="n"/>
      <c r="D349" s="18" t="n"/>
      <c r="E349" s="18" t="n"/>
      <c r="F349" s="18" t="n"/>
      <c r="G349" s="18" t="n"/>
      <c r="H349" s="18" t="n"/>
      <c r="I349" s="18" t="n"/>
    </row>
    <row r="350">
      <c r="A350" s="17" t="n"/>
      <c r="B350" s="18" t="n"/>
      <c r="C350" s="18" t="n"/>
      <c r="D350" s="18" t="n"/>
      <c r="E350" s="18" t="n"/>
      <c r="F350" s="18" t="n"/>
      <c r="G350" s="18" t="n"/>
      <c r="H350" s="18" t="n"/>
      <c r="I350" s="18" t="n"/>
    </row>
    <row r="351">
      <c r="A351" s="17" t="n"/>
      <c r="B351" s="18" t="n"/>
      <c r="C351" s="18" t="n"/>
      <c r="D351" s="18" t="n"/>
      <c r="E351" s="18" t="n"/>
      <c r="F351" s="18" t="n"/>
      <c r="G351" s="18" t="n"/>
      <c r="H351" s="18" t="n"/>
      <c r="I351" s="18" t="n"/>
    </row>
    <row r="352">
      <c r="A352" s="17" t="n"/>
      <c r="B352" s="18" t="n"/>
      <c r="C352" s="18" t="n"/>
      <c r="D352" s="18" t="n"/>
      <c r="E352" s="18" t="n"/>
      <c r="F352" s="18" t="n"/>
      <c r="G352" s="18" t="n"/>
      <c r="H352" s="18" t="n"/>
      <c r="I352" s="18" t="n"/>
    </row>
    <row r="353">
      <c r="A353" s="17" t="n"/>
      <c r="B353" s="18" t="n"/>
      <c r="C353" s="18" t="n"/>
      <c r="D353" s="18" t="n"/>
      <c r="E353" s="18" t="n"/>
      <c r="F353" s="18" t="n"/>
      <c r="G353" s="18" t="n"/>
      <c r="H353" s="18" t="n"/>
      <c r="I353" s="18" t="n"/>
    </row>
    <row r="354">
      <c r="A354" s="17" t="n"/>
      <c r="B354" s="18" t="n"/>
      <c r="C354" s="18" t="n"/>
      <c r="D354" s="18" t="n"/>
      <c r="E354" s="18" t="n"/>
      <c r="F354" s="18" t="n"/>
      <c r="G354" s="18" t="n"/>
      <c r="H354" s="18" t="n"/>
      <c r="I354" s="18" t="n"/>
    </row>
    <row r="355">
      <c r="A355" s="17" t="n"/>
      <c r="B355" s="18" t="n"/>
      <c r="C355" s="18" t="n"/>
      <c r="D355" s="18" t="n"/>
      <c r="E355" s="18" t="n"/>
      <c r="F355" s="18" t="n"/>
      <c r="G355" s="18" t="n"/>
      <c r="H355" s="18" t="n"/>
      <c r="I355" s="18" t="n"/>
    </row>
    <row r="356">
      <c r="A356" s="17" t="n"/>
      <c r="B356" s="18" t="n"/>
      <c r="C356" s="18" t="n"/>
      <c r="D356" s="18" t="n"/>
      <c r="E356" s="18" t="n"/>
      <c r="F356" s="18" t="n"/>
      <c r="G356" s="18" t="n"/>
      <c r="H356" s="18" t="n"/>
      <c r="I356" s="18" t="n"/>
    </row>
    <row r="357">
      <c r="A357" s="17" t="n"/>
      <c r="B357" s="18" t="n"/>
      <c r="C357" s="18" t="n"/>
      <c r="D357" s="18" t="n"/>
      <c r="E357" s="18" t="n"/>
      <c r="F357" s="18" t="n"/>
      <c r="G357" s="18" t="n"/>
      <c r="H357" s="18" t="n"/>
      <c r="I357" s="18" t="n"/>
    </row>
    <row r="358">
      <c r="A358" s="17" t="n"/>
      <c r="B358" s="18" t="n"/>
      <c r="C358" s="18" t="n"/>
      <c r="D358" s="18" t="n"/>
      <c r="E358" s="18" t="n"/>
      <c r="F358" s="18" t="n"/>
      <c r="G358" s="18" t="n"/>
      <c r="H358" s="18" t="n"/>
      <c r="I358" s="18" t="n"/>
    </row>
    <row r="359">
      <c r="A359" s="17" t="n"/>
      <c r="B359" s="18" t="n"/>
      <c r="C359" s="18" t="n"/>
      <c r="D359" s="18" t="n"/>
      <c r="E359" s="18" t="n"/>
      <c r="F359" s="18" t="n"/>
      <c r="G359" s="18" t="n"/>
      <c r="H359" s="18" t="n"/>
      <c r="I359" s="18" t="n"/>
    </row>
    <row r="360">
      <c r="A360" s="17" t="n"/>
      <c r="B360" s="18" t="n"/>
      <c r="C360" s="18" t="n"/>
      <c r="D360" s="18" t="n"/>
      <c r="E360" s="18" t="n"/>
      <c r="F360" s="18" t="n"/>
      <c r="G360" s="18" t="n"/>
      <c r="H360" s="18" t="n"/>
      <c r="I360" s="18" t="n"/>
    </row>
    <row r="361">
      <c r="A361" s="17" t="n"/>
      <c r="B361" s="18" t="n"/>
      <c r="C361" s="18" t="n"/>
      <c r="D361" s="18" t="n"/>
      <c r="E361" s="18" t="n"/>
      <c r="F361" s="18" t="n"/>
      <c r="G361" s="18" t="n"/>
      <c r="H361" s="18" t="n"/>
      <c r="I361" s="18" t="n"/>
    </row>
    <row r="362">
      <c r="A362" s="17" t="n"/>
      <c r="B362" s="18" t="n"/>
      <c r="C362" s="18" t="n"/>
      <c r="D362" s="18" t="n"/>
      <c r="E362" s="18" t="n"/>
      <c r="F362" s="18" t="n"/>
      <c r="G362" s="18" t="n"/>
      <c r="H362" s="18" t="n"/>
      <c r="I362" s="18" t="n"/>
    </row>
    <row r="363">
      <c r="A363" s="17" t="n"/>
      <c r="B363" s="18" t="n"/>
      <c r="C363" s="18" t="n"/>
      <c r="D363" s="18" t="n"/>
      <c r="E363" s="18" t="n"/>
      <c r="F363" s="18" t="n"/>
      <c r="G363" s="18" t="n"/>
      <c r="H363" s="18" t="n"/>
      <c r="I363" s="18" t="n"/>
    </row>
    <row r="364">
      <c r="A364" s="17" t="n"/>
      <c r="B364" s="18" t="n"/>
      <c r="C364" s="18" t="n"/>
      <c r="D364" s="18" t="n"/>
      <c r="E364" s="18" t="n"/>
      <c r="F364" s="18" t="n"/>
      <c r="G364" s="18" t="n"/>
      <c r="H364" s="18" t="n"/>
      <c r="I364" s="18" t="n"/>
    </row>
    <row r="365">
      <c r="A365" s="17" t="n"/>
      <c r="B365" s="18" t="n"/>
      <c r="C365" s="18" t="n"/>
      <c r="D365" s="18" t="n"/>
      <c r="E365" s="18" t="n"/>
      <c r="F365" s="18" t="n"/>
      <c r="G365" s="18" t="n"/>
      <c r="H365" s="18" t="n"/>
      <c r="I365" s="18" t="n"/>
    </row>
    <row r="366">
      <c r="A366" s="17" t="n"/>
      <c r="B366" s="18" t="n"/>
      <c r="C366" s="18" t="n"/>
      <c r="D366" s="18" t="n"/>
      <c r="E366" s="18" t="n"/>
      <c r="F366" s="18" t="n"/>
      <c r="G366" s="18" t="n"/>
      <c r="H366" s="18" t="n"/>
      <c r="I366" s="18" t="n"/>
    </row>
    <row r="367">
      <c r="A367" s="17" t="n"/>
      <c r="B367" s="18" t="n"/>
      <c r="C367" s="18" t="n"/>
      <c r="D367" s="18" t="n"/>
      <c r="E367" s="18" t="n"/>
      <c r="F367" s="18" t="n"/>
      <c r="G367" s="18" t="n"/>
      <c r="H367" s="18" t="n"/>
      <c r="I367" s="18" t="n"/>
    </row>
    <row r="368">
      <c r="A368" s="17" t="n"/>
      <c r="B368" s="18" t="n"/>
      <c r="C368" s="18" t="n"/>
      <c r="D368" s="18" t="n"/>
      <c r="E368" s="18" t="n"/>
      <c r="F368" s="18" t="n"/>
      <c r="G368" s="18" t="n"/>
      <c r="H368" s="18" t="n"/>
      <c r="I368" s="18" t="n"/>
    </row>
    <row r="369">
      <c r="A369" s="17" t="n"/>
      <c r="B369" s="18" t="n"/>
      <c r="C369" s="18" t="n"/>
      <c r="D369" s="18" t="n"/>
      <c r="E369" s="18" t="n"/>
      <c r="F369" s="18" t="n"/>
      <c r="G369" s="18" t="n"/>
      <c r="H369" s="18" t="n"/>
      <c r="I369" s="18" t="n"/>
    </row>
    <row r="370">
      <c r="A370" s="17" t="n"/>
      <c r="B370" s="18" t="n"/>
      <c r="C370" s="18" t="n"/>
      <c r="D370" s="18" t="n"/>
      <c r="E370" s="18" t="n"/>
      <c r="F370" s="18" t="n"/>
      <c r="G370" s="18" t="n"/>
      <c r="H370" s="18" t="n"/>
      <c r="I370" s="18" t="n"/>
    </row>
    <row r="371">
      <c r="A371" s="17" t="n"/>
      <c r="B371" s="18" t="n"/>
      <c r="C371" s="18" t="n"/>
      <c r="D371" s="18" t="n"/>
      <c r="E371" s="18" t="n"/>
      <c r="F371" s="18" t="n"/>
      <c r="G371" s="18" t="n"/>
      <c r="H371" s="18" t="n"/>
      <c r="I371" s="18" t="n"/>
    </row>
    <row r="372">
      <c r="A372" s="17" t="n"/>
      <c r="B372" s="18" t="n"/>
      <c r="C372" s="18" t="n"/>
      <c r="D372" s="18" t="n"/>
      <c r="E372" s="18" t="n"/>
      <c r="F372" s="18" t="n"/>
      <c r="G372" s="18" t="n"/>
      <c r="H372" s="18" t="n"/>
      <c r="I372" s="18" t="n"/>
    </row>
    <row r="373">
      <c r="A373" s="17" t="n"/>
      <c r="B373" s="18" t="n"/>
      <c r="C373" s="18" t="n"/>
      <c r="D373" s="18" t="n"/>
      <c r="E373" s="18" t="n"/>
      <c r="F373" s="18" t="n"/>
      <c r="G373" s="18" t="n"/>
      <c r="H373" s="18" t="n"/>
      <c r="I373" s="18" t="n"/>
    </row>
    <row r="374">
      <c r="A374" s="17" t="n"/>
      <c r="B374" s="18" t="n"/>
      <c r="C374" s="18" t="n"/>
      <c r="D374" s="18" t="n"/>
      <c r="E374" s="18" t="n"/>
      <c r="F374" s="18" t="n"/>
      <c r="G374" s="18" t="n"/>
      <c r="H374" s="18" t="n"/>
      <c r="I374" s="18" t="n"/>
    </row>
    <row r="375">
      <c r="A375" s="17" t="n"/>
      <c r="B375" s="18" t="n"/>
      <c r="C375" s="18" t="n"/>
      <c r="D375" s="18" t="n"/>
      <c r="E375" s="18" t="n"/>
      <c r="F375" s="18" t="n"/>
      <c r="G375" s="18" t="n"/>
      <c r="H375" s="18" t="n"/>
      <c r="I375" s="18" t="n"/>
    </row>
    <row r="376">
      <c r="A376" s="17" t="n"/>
      <c r="B376" s="18" t="n"/>
      <c r="C376" s="18" t="n"/>
      <c r="D376" s="18" t="n"/>
      <c r="E376" s="18" t="n"/>
      <c r="F376" s="18" t="n"/>
      <c r="G376" s="18" t="n"/>
      <c r="H376" s="18" t="n"/>
      <c r="I376" s="18" t="n"/>
    </row>
    <row r="377">
      <c r="A377" s="17" t="n"/>
      <c r="B377" s="18" t="n"/>
      <c r="C377" s="18" t="n"/>
      <c r="D377" s="18" t="n"/>
      <c r="E377" s="18" t="n"/>
      <c r="F377" s="18" t="n"/>
      <c r="G377" s="18" t="n"/>
      <c r="H377" s="18" t="n"/>
      <c r="I377" s="18" t="n"/>
    </row>
    <row r="378">
      <c r="A378" s="17" t="n"/>
      <c r="B378" s="18" t="n"/>
      <c r="C378" s="18" t="n"/>
      <c r="D378" s="18" t="n"/>
      <c r="E378" s="18" t="n"/>
      <c r="F378" s="18" t="n"/>
      <c r="G378" s="18" t="n"/>
      <c r="H378" s="18" t="n"/>
      <c r="I378" s="18" t="n"/>
    </row>
    <row r="379">
      <c r="A379" s="17" t="n"/>
      <c r="B379" s="18" t="n"/>
      <c r="C379" s="18" t="n"/>
      <c r="D379" s="18" t="n"/>
      <c r="E379" s="18" t="n"/>
      <c r="F379" s="18" t="n"/>
      <c r="G379" s="18" t="n"/>
      <c r="H379" s="18" t="n"/>
      <c r="I379" s="18" t="n"/>
    </row>
    <row r="380">
      <c r="A380" s="17" t="n"/>
      <c r="B380" s="18" t="n"/>
      <c r="C380" s="18" t="n"/>
      <c r="D380" s="18" t="n"/>
      <c r="E380" s="18" t="n"/>
      <c r="F380" s="18" t="n"/>
      <c r="G380" s="18" t="n"/>
      <c r="H380" s="18" t="n"/>
      <c r="I380" s="18" t="n"/>
    </row>
    <row r="381">
      <c r="A381" s="17" t="n"/>
      <c r="B381" s="18" t="n"/>
      <c r="C381" s="18" t="n"/>
      <c r="D381" s="18" t="n"/>
      <c r="E381" s="18" t="n"/>
      <c r="F381" s="18" t="n"/>
      <c r="G381" s="18" t="n"/>
      <c r="H381" s="18" t="n"/>
      <c r="I381" s="18" t="n"/>
    </row>
    <row r="382">
      <c r="A382" s="17" t="n"/>
      <c r="B382" s="18" t="n"/>
      <c r="C382" s="18" t="n"/>
      <c r="D382" s="18" t="n"/>
      <c r="E382" s="18" t="n"/>
      <c r="F382" s="18" t="n"/>
      <c r="G382" s="18" t="n"/>
      <c r="H382" s="18" t="n"/>
      <c r="I382" s="18" t="n"/>
    </row>
    <row r="383">
      <c r="A383" s="17" t="n"/>
      <c r="B383" s="18" t="n"/>
      <c r="C383" s="18" t="n"/>
      <c r="D383" s="18" t="n"/>
      <c r="E383" s="18" t="n"/>
      <c r="F383" s="18" t="n"/>
      <c r="G383" s="18" t="n"/>
      <c r="H383" s="18" t="n"/>
      <c r="I383" s="18" t="n"/>
    </row>
    <row r="384">
      <c r="A384" s="17" t="n"/>
      <c r="B384" s="18" t="n"/>
      <c r="C384" s="18" t="n"/>
      <c r="D384" s="18" t="n"/>
      <c r="E384" s="18" t="n"/>
      <c r="F384" s="18" t="n"/>
      <c r="G384" s="18" t="n"/>
      <c r="H384" s="18" t="n"/>
      <c r="I384" s="18" t="n"/>
    </row>
    <row r="385">
      <c r="A385" s="17" t="n"/>
      <c r="B385" s="18" t="n"/>
      <c r="C385" s="18" t="n"/>
      <c r="D385" s="18" t="n"/>
      <c r="E385" s="18" t="n"/>
      <c r="F385" s="18" t="n"/>
      <c r="G385" s="18" t="n"/>
      <c r="H385" s="18" t="n"/>
      <c r="I385" s="18" t="n"/>
    </row>
    <row r="386">
      <c r="A386" s="17" t="n"/>
      <c r="B386" s="18" t="n"/>
      <c r="C386" s="18" t="n"/>
      <c r="D386" s="18" t="n"/>
      <c r="E386" s="18" t="n"/>
      <c r="F386" s="18" t="n"/>
      <c r="G386" s="18" t="n"/>
      <c r="H386" s="18" t="n"/>
      <c r="I386" s="18" t="n"/>
    </row>
    <row r="387">
      <c r="A387" s="17" t="n"/>
      <c r="B387" s="18" t="n"/>
      <c r="C387" s="18" t="n"/>
      <c r="D387" s="18" t="n"/>
      <c r="E387" s="18" t="n"/>
      <c r="F387" s="18" t="n"/>
      <c r="G387" s="18" t="n"/>
      <c r="H387" s="18" t="n"/>
      <c r="I387" s="18" t="n"/>
    </row>
    <row r="388">
      <c r="A388" s="17" t="n"/>
      <c r="B388" s="18" t="n"/>
      <c r="C388" s="18" t="n"/>
      <c r="D388" s="18" t="n"/>
      <c r="E388" s="18" t="n"/>
      <c r="F388" s="18" t="n"/>
      <c r="G388" s="18" t="n"/>
      <c r="H388" s="18" t="n"/>
      <c r="I388" s="18" t="n"/>
    </row>
    <row r="389">
      <c r="A389" s="17" t="n"/>
      <c r="B389" s="18" t="n"/>
      <c r="C389" s="18" t="n"/>
      <c r="D389" s="18" t="n"/>
      <c r="E389" s="18" t="n"/>
      <c r="F389" s="18" t="n"/>
      <c r="G389" s="18" t="n"/>
      <c r="H389" s="18" t="n"/>
      <c r="I389" s="18" t="n"/>
    </row>
    <row r="390">
      <c r="A390" s="17" t="n"/>
      <c r="B390" s="18" t="n"/>
      <c r="C390" s="18" t="n"/>
      <c r="D390" s="18" t="n"/>
      <c r="E390" s="18" t="n"/>
      <c r="F390" s="18" t="n"/>
      <c r="G390" s="18" t="n"/>
      <c r="H390" s="18" t="n"/>
      <c r="I390" s="18" t="n"/>
    </row>
    <row r="391">
      <c r="A391" s="17" t="n"/>
      <c r="B391" s="18" t="n"/>
      <c r="C391" s="18" t="n"/>
      <c r="D391" s="18" t="n"/>
      <c r="E391" s="18" t="n"/>
      <c r="F391" s="18" t="n"/>
      <c r="G391" s="18" t="n"/>
      <c r="H391" s="18" t="n"/>
      <c r="I391" s="18" t="n"/>
    </row>
    <row r="392">
      <c r="A392" s="17" t="n"/>
      <c r="B392" s="18" t="n"/>
      <c r="C392" s="18" t="n"/>
      <c r="D392" s="18" t="n"/>
      <c r="E392" s="18" t="n"/>
      <c r="F392" s="18" t="n"/>
      <c r="G392" s="18" t="n"/>
      <c r="H392" s="18" t="n"/>
      <c r="I392" s="18" t="n"/>
    </row>
    <row r="393">
      <c r="A393" s="17" t="n"/>
      <c r="B393" s="18" t="n"/>
      <c r="C393" s="18" t="n"/>
      <c r="D393" s="18" t="n"/>
      <c r="E393" s="18" t="n"/>
      <c r="F393" s="18" t="n"/>
      <c r="G393" s="18" t="n"/>
      <c r="H393" s="18" t="n"/>
      <c r="I393" s="18" t="n"/>
    </row>
    <row r="394">
      <c r="A394" s="17" t="n"/>
      <c r="B394" s="18" t="n"/>
      <c r="C394" s="18" t="n"/>
      <c r="D394" s="18" t="n"/>
      <c r="E394" s="18" t="n"/>
      <c r="F394" s="18" t="n"/>
      <c r="G394" s="18" t="n"/>
      <c r="H394" s="18" t="n"/>
      <c r="I394" s="18" t="n"/>
    </row>
    <row r="395">
      <c r="A395" s="17" t="n"/>
      <c r="B395" s="18" t="n"/>
      <c r="C395" s="18" t="n"/>
      <c r="D395" s="18" t="n"/>
      <c r="E395" s="18" t="n"/>
      <c r="F395" s="18" t="n"/>
      <c r="G395" s="18" t="n"/>
      <c r="H395" s="18" t="n"/>
      <c r="I395" s="18" t="n"/>
    </row>
    <row r="396">
      <c r="A396" s="17" t="n"/>
      <c r="B396" s="18" t="n"/>
      <c r="C396" s="18" t="n"/>
      <c r="D396" s="18" t="n"/>
      <c r="E396" s="18" t="n"/>
      <c r="F396" s="18" t="n"/>
      <c r="G396" s="18" t="n"/>
      <c r="H396" s="18" t="n"/>
      <c r="I396" s="18" t="n"/>
    </row>
    <row r="397">
      <c r="A397" s="17" t="n"/>
      <c r="B397" s="18" t="n"/>
      <c r="C397" s="18" t="n"/>
      <c r="D397" s="18" t="n"/>
      <c r="E397" s="18" t="n"/>
      <c r="F397" s="18" t="n"/>
      <c r="G397" s="18" t="n"/>
      <c r="H397" s="18" t="n"/>
      <c r="I397" s="18" t="n"/>
    </row>
    <row r="398">
      <c r="A398" s="17" t="n"/>
      <c r="B398" s="18" t="n"/>
      <c r="C398" s="18" t="n"/>
      <c r="D398" s="18" t="n"/>
      <c r="E398" s="18" t="n"/>
      <c r="F398" s="18" t="n"/>
      <c r="G398" s="18" t="n"/>
      <c r="H398" s="18" t="n"/>
      <c r="I398" s="18" t="n"/>
    </row>
    <row r="399">
      <c r="A399" s="17" t="n"/>
      <c r="B399" s="18" t="n"/>
      <c r="C399" s="18" t="n"/>
      <c r="D399" s="18" t="n"/>
      <c r="E399" s="18" t="n"/>
      <c r="F399" s="18" t="n"/>
      <c r="G399" s="18" t="n"/>
      <c r="H399" s="18" t="n"/>
      <c r="I399" s="18" t="n"/>
    </row>
    <row r="400">
      <c r="A400" s="17" t="n"/>
      <c r="B400" s="18" t="n"/>
      <c r="C400" s="18" t="n"/>
      <c r="D400" s="18" t="n"/>
      <c r="E400" s="18" t="n"/>
      <c r="F400" s="18" t="n"/>
      <c r="G400" s="18" t="n"/>
      <c r="H400" s="18" t="n"/>
      <c r="I400" s="18" t="n"/>
    </row>
  </sheetData>
  <conditionalFormatting sqref="B2:B400">
    <cfRule type="cellIs" priority="1" operator="equal" dxfId="0">
      <formula>"Feito"</formula>
    </cfRule>
    <cfRule type="cellIs" priority="2" operator="equal" dxfId="1">
      <formula>"Pendente"</formula>
    </cfRule>
    <cfRule type="cellIs" priority="3" operator="equal" dxfId="2">
      <formula>"N/A"</formula>
    </cfRule>
  </conditionalFormatting>
  <conditionalFormatting sqref="C2:C400">
    <cfRule type="cellIs" priority="4" operator="equal" dxfId="0">
      <formula>"Feito"</formula>
    </cfRule>
    <cfRule type="cellIs" priority="5" operator="equal" dxfId="1">
      <formula>"Pendente"</formula>
    </cfRule>
    <cfRule type="cellIs" priority="6" operator="equal" dxfId="2">
      <formula>"N/A"</formula>
    </cfRule>
  </conditionalFormatting>
  <conditionalFormatting sqref="D2:D400">
    <cfRule type="cellIs" priority="7" operator="equal" dxfId="0">
      <formula>"Feito"</formula>
    </cfRule>
    <cfRule type="cellIs" priority="8" operator="equal" dxfId="1">
      <formula>"Pendente"</formula>
    </cfRule>
    <cfRule type="cellIs" priority="9" operator="equal" dxfId="2">
      <formula>"N/A"</formula>
    </cfRule>
  </conditionalFormatting>
  <conditionalFormatting sqref="E2:E400">
    <cfRule type="cellIs" priority="10" operator="equal" dxfId="0">
      <formula>"Feito"</formula>
    </cfRule>
    <cfRule type="cellIs" priority="11" operator="equal" dxfId="1">
      <formula>"Pendente"</formula>
    </cfRule>
    <cfRule type="cellIs" priority="12" operator="equal" dxfId="2">
      <formula>"N/A"</formula>
    </cfRule>
  </conditionalFormatting>
  <conditionalFormatting sqref="F2:F400">
    <cfRule type="cellIs" priority="13" operator="equal" dxfId="0">
      <formula>"Feito"</formula>
    </cfRule>
    <cfRule type="cellIs" priority="14" operator="equal" dxfId="1">
      <formula>"Pendente"</formula>
    </cfRule>
    <cfRule type="cellIs" priority="15" operator="equal" dxfId="2">
      <formula>"N/A"</formula>
    </cfRule>
  </conditionalFormatting>
  <conditionalFormatting sqref="G2:G400">
    <cfRule type="cellIs" priority="16" operator="equal" dxfId="0">
      <formula>"Feito"</formula>
    </cfRule>
    <cfRule type="cellIs" priority="17" operator="equal" dxfId="1">
      <formula>"Pendente"</formula>
    </cfRule>
    <cfRule type="cellIs" priority="18" operator="equal" dxfId="2">
      <formula>"N/A"</formula>
    </cfRule>
  </conditionalFormatting>
  <dataValidations count="1">
    <dataValidation sqref="B2:G400" showDropDown="0" showInputMessage="0" showErrorMessage="0" allowBlank="1" type="list">
      <formula1>"Feito,Pendente,N/A"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40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1" customWidth="1" min="2" max="2"/>
    <col width="20" customWidth="1" min="3" max="3"/>
    <col width="20" customWidth="1" min="4" max="4"/>
    <col width="16" customWidth="1" min="5" max="5"/>
    <col width="16" customWidth="1" min="6" max="6"/>
    <col width="14" customWidth="1" min="7" max="7"/>
    <col width="12" customWidth="1" min="8" max="8"/>
    <col width="11" customWidth="1" min="9" max="9"/>
    <col width="16" customWidth="1" min="10" max="10"/>
    <col width="14" customWidth="1" min="11" max="11"/>
    <col width="18" customWidth="1" min="12" max="12"/>
    <col width="26" customWidth="1" min="13" max="13"/>
  </cols>
  <sheetData>
    <row r="1">
      <c r="A1" s="14" t="inlineStr">
        <is>
          <t>Data</t>
        </is>
      </c>
      <c r="B1" s="14" t="inlineStr">
        <is>
          <t>Hora do Lead</t>
        </is>
      </c>
      <c r="C1" s="14" t="inlineStr">
        <is>
          <t>Campanha</t>
        </is>
      </c>
      <c r="D1" s="14" t="inlineStr">
        <is>
          <t>Nome do Lead</t>
        </is>
      </c>
      <c r="E1" s="14" t="inlineStr">
        <is>
          <t>Telefone/WhatsApp</t>
        </is>
      </c>
      <c r="F1" s="14" t="inlineStr">
        <is>
          <t>Tipo de Campanha</t>
        </is>
      </c>
      <c r="G1" s="14" t="inlineStr">
        <is>
          <t>Hora do 1º Contato</t>
        </is>
      </c>
      <c r="H1" s="14" t="inlineStr">
        <is>
          <t>Tempo de Resposta (min)</t>
        </is>
      </c>
      <c r="I1" s="14" t="inlineStr">
        <is>
          <t>SLA Cumprido</t>
        </is>
      </c>
      <c r="J1" s="14" t="inlineStr">
        <is>
          <t>Status</t>
        </is>
      </c>
      <c r="K1" s="14" t="inlineStr">
        <is>
          <t>Responsável</t>
        </is>
      </c>
      <c r="L1" s="14" t="inlineStr">
        <is>
          <t>Valor Estimado da Obra (R$)</t>
        </is>
      </c>
      <c r="M1" s="14" t="inlineStr">
        <is>
          <t>Observações</t>
        </is>
      </c>
    </row>
    <row r="2">
      <c r="A2" s="19" t="inlineStr">
        <is>
          <t>2026-09-01</t>
        </is>
      </c>
      <c r="B2" s="20" t="inlineStr">
        <is>
          <t>08:15</t>
        </is>
      </c>
      <c r="C2" s="21" t="inlineStr">
        <is>
          <t>Reforma Residencial - Pesquisa</t>
        </is>
      </c>
      <c r="D2" s="21" t="inlineStr">
        <is>
          <t>João Almeida</t>
        </is>
      </c>
      <c r="E2" s="21" t="inlineStr">
        <is>
          <t>(11) 99888-1122</t>
        </is>
      </c>
      <c r="F2" s="21" t="inlineStr">
        <is>
          <t>Pesquisa</t>
        </is>
      </c>
      <c r="G2" s="20" t="inlineStr">
        <is>
          <t>08:32</t>
        </is>
      </c>
      <c r="H2" s="21">
        <f>IF(OR(B2="",G2=""),"",ROUND((G2-B2)*1440,0))</f>
        <v/>
      </c>
      <c r="I2" s="21">
        <f>IF(H2="","",IF(H2&lt;=Dashboard!$B$6,"Sim","Não"))</f>
        <v/>
      </c>
      <c r="J2" s="21" t="inlineStr">
        <is>
          <t>Qualificado</t>
        </is>
      </c>
      <c r="K2" s="21" t="inlineStr">
        <is>
          <t>Fernanda</t>
        </is>
      </c>
      <c r="L2" s="22" t="n">
        <v>45000</v>
      </c>
      <c r="M2" s="21" t="inlineStr">
        <is>
          <t>Interessado em reforma de cozinha</t>
        </is>
      </c>
    </row>
    <row r="3">
      <c r="A3" s="19" t="inlineStr">
        <is>
          <t>2026-09-01</t>
        </is>
      </c>
      <c r="B3" s="20" t="inlineStr">
        <is>
          <t>09:40</t>
        </is>
      </c>
      <c r="C3" s="21" t="inlineStr">
        <is>
          <t>Construção do Zero - PMax</t>
        </is>
      </c>
      <c r="D3" s="21" t="inlineStr">
        <is>
          <t>Marcia Souza</t>
        </is>
      </c>
      <c r="E3" s="21" t="inlineStr">
        <is>
          <t>(11) 97777-3344</t>
        </is>
      </c>
      <c r="F3" s="21" t="inlineStr">
        <is>
          <t>Performance Max</t>
        </is>
      </c>
      <c r="G3" s="20" t="inlineStr">
        <is>
          <t>10:10</t>
        </is>
      </c>
      <c r="H3" s="21">
        <f>IF(OR(B3="",G3=""),"",ROUND((G3-B3)*1440,0))</f>
        <v/>
      </c>
      <c r="I3" s="21">
        <f>IF(H3="","",IF(H3&lt;=Dashboard!$B$6,"Sim","Não"))</f>
        <v/>
      </c>
      <c r="J3" s="21" t="inlineStr">
        <is>
          <t>Em contato</t>
        </is>
      </c>
      <c r="K3" s="21" t="inlineStr">
        <is>
          <t>Fernanda</t>
        </is>
      </c>
      <c r="L3" s="22" t="n">
        <v>320000</v>
      </c>
      <c r="M3" s="21" t="inlineStr">
        <is>
          <t>Aguardando terreno documentado</t>
        </is>
      </c>
    </row>
    <row r="4">
      <c r="A4" s="19" t="inlineStr">
        <is>
          <t>2026-09-01</t>
        </is>
      </c>
      <c r="B4" s="20" t="inlineStr">
        <is>
          <t>13:05</t>
        </is>
      </c>
      <c r="C4" s="21" t="inlineStr">
        <is>
          <t>Reforma Residencial - Pesquisa</t>
        </is>
      </c>
      <c r="D4" s="21" t="inlineStr">
        <is>
          <t>Carlos Nunes</t>
        </is>
      </c>
      <c r="E4" s="21" t="inlineStr">
        <is>
          <t>(11) 96666-5566</t>
        </is>
      </c>
      <c r="F4" s="21" t="inlineStr">
        <is>
          <t>Pesquisa</t>
        </is>
      </c>
      <c r="G4" s="20" t="inlineStr">
        <is>
          <t>13:20</t>
        </is>
      </c>
      <c r="H4" s="21">
        <f>IF(OR(B4="",G4=""),"",ROUND((G4-B4)*1440,0))</f>
        <v/>
      </c>
      <c r="I4" s="21">
        <f>IF(H4="","",IF(H4&lt;=Dashboard!$B$6,"Sim","Não"))</f>
        <v/>
      </c>
      <c r="J4" s="21" t="inlineStr">
        <is>
          <t>Proposta enviada</t>
        </is>
      </c>
      <c r="K4" s="21" t="inlineStr">
        <is>
          <t>Equipe Comercial</t>
        </is>
      </c>
      <c r="L4" s="22" t="n">
        <v>60000</v>
      </c>
      <c r="M4" s="21" t="inlineStr"/>
    </row>
    <row r="5">
      <c r="A5" s="19" t="inlineStr">
        <is>
          <t>2026-09-02</t>
        </is>
      </c>
      <c r="B5" s="20" t="inlineStr">
        <is>
          <t>10:00</t>
        </is>
      </c>
      <c r="C5" s="21" t="inlineStr">
        <is>
          <t>Reforma Comercial - Display</t>
        </is>
      </c>
      <c r="D5" s="21" t="inlineStr">
        <is>
          <t>Loja Center Sul</t>
        </is>
      </c>
      <c r="E5" s="21" t="inlineStr">
        <is>
          <t>(11) 95555-7788</t>
        </is>
      </c>
      <c r="F5" s="21" t="inlineStr">
        <is>
          <t>Display</t>
        </is>
      </c>
      <c r="G5" s="20" t="inlineStr">
        <is>
          <t>10:55</t>
        </is>
      </c>
      <c r="H5" s="21">
        <f>IF(OR(B5="",G5=""),"",ROUND((G5-B5)*1440,0))</f>
        <v/>
      </c>
      <c r="I5" s="21">
        <f>IF(H5="","",IF(H5&lt;=Dashboard!$B$6,"Sim","Não"))</f>
        <v/>
      </c>
      <c r="J5" s="21" t="inlineStr">
        <is>
          <t>Novo</t>
        </is>
      </c>
      <c r="K5" s="21" t="inlineStr">
        <is>
          <t>Fernanda</t>
        </is>
      </c>
      <c r="L5" s="22" t="n">
        <v>80000</v>
      </c>
      <c r="M5" s="21" t="inlineStr">
        <is>
          <t>Ligar novamente amanhã</t>
        </is>
      </c>
    </row>
    <row r="6">
      <c r="A6" s="19" t="inlineStr">
        <is>
          <t>2026-09-02</t>
        </is>
      </c>
      <c r="B6" s="20" t="inlineStr">
        <is>
          <t>15:20</t>
        </is>
      </c>
      <c r="C6" s="21" t="inlineStr">
        <is>
          <t>Construção do Zero - PMax</t>
        </is>
      </c>
      <c r="D6" s="21" t="inlineStr">
        <is>
          <t>Patrícia Lima</t>
        </is>
      </c>
      <c r="E6" s="21" t="inlineStr">
        <is>
          <t>(11) 94444-9900</t>
        </is>
      </c>
      <c r="F6" s="21" t="inlineStr">
        <is>
          <t>Performance Max</t>
        </is>
      </c>
      <c r="G6" s="20" t="inlineStr">
        <is>
          <t>15:35</t>
        </is>
      </c>
      <c r="H6" s="21">
        <f>IF(OR(B6="",G6=""),"",ROUND((G6-B6)*1440,0))</f>
        <v/>
      </c>
      <c r="I6" s="21">
        <f>IF(H6="","",IF(H6&lt;=Dashboard!$B$6,"Sim","Não"))</f>
        <v/>
      </c>
      <c r="J6" s="21" t="inlineStr">
        <is>
          <t>Convertido</t>
        </is>
      </c>
      <c r="K6" s="21" t="inlineStr">
        <is>
          <t>Equipe Comercial</t>
        </is>
      </c>
      <c r="L6" s="22" t="n">
        <v>410000</v>
      </c>
      <c r="M6" s="21" t="inlineStr">
        <is>
          <t>Contrato assinado</t>
        </is>
      </c>
    </row>
    <row r="7">
      <c r="A7" s="19" t="inlineStr">
        <is>
          <t>2026-09-03</t>
        </is>
      </c>
      <c r="B7" s="20" t="inlineStr">
        <is>
          <t>11:10</t>
        </is>
      </c>
      <c r="C7" s="21" t="inlineStr">
        <is>
          <t>Reforma Residencial - Pesquisa</t>
        </is>
      </c>
      <c r="D7" s="21" t="inlineStr">
        <is>
          <t>Renato Dias</t>
        </is>
      </c>
      <c r="E7" s="21" t="inlineStr">
        <is>
          <t>(11) 93333-1212</t>
        </is>
      </c>
      <c r="F7" s="21" t="inlineStr">
        <is>
          <t>Pesquisa</t>
        </is>
      </c>
      <c r="G7" s="20" t="inlineStr">
        <is>
          <t>12:05</t>
        </is>
      </c>
      <c r="H7" s="21">
        <f>IF(OR(B7="",G7=""),"",ROUND((G7-B7)*1440,0))</f>
        <v/>
      </c>
      <c r="I7" s="21">
        <f>IF(H7="","",IF(H7&lt;=Dashboard!$B$6,"Sim","Não"))</f>
        <v/>
      </c>
      <c r="J7" s="21" t="inlineStr">
        <is>
          <t>Perdido</t>
        </is>
      </c>
      <c r="K7" s="21" t="inlineStr">
        <is>
          <t>Fernanda</t>
        </is>
      </c>
      <c r="L7" s="22" t="n">
        <v>30000</v>
      </c>
      <c r="M7" s="21" t="inlineStr">
        <is>
          <t>Optou por outra construtora</t>
        </is>
      </c>
    </row>
    <row r="8">
      <c r="A8" s="23" t="n"/>
      <c r="B8" s="24" t="n"/>
      <c r="C8" s="25" t="n"/>
      <c r="D8" s="25" t="n"/>
      <c r="E8" s="25" t="n"/>
      <c r="F8" s="25" t="n"/>
      <c r="G8" s="24" t="n"/>
      <c r="H8">
        <f>IF(OR(B8="",G8=""),"",ROUND((G8-B8)*1440,0))</f>
        <v/>
      </c>
      <c r="I8">
        <f>IF(H8="","",IF(H8&lt;=Dashboard!$B$6,"Sim","Não"))</f>
        <v/>
      </c>
      <c r="J8" s="25" t="n"/>
      <c r="K8" s="25" t="n"/>
      <c r="L8" s="26" t="n"/>
      <c r="M8" s="25" t="n"/>
    </row>
    <row r="9">
      <c r="A9" s="23" t="n"/>
      <c r="B9" s="24" t="n"/>
      <c r="C9" s="25" t="n"/>
      <c r="D9" s="25" t="n"/>
      <c r="E9" s="25" t="n"/>
      <c r="F9" s="25" t="n"/>
      <c r="G9" s="24" t="n"/>
      <c r="H9">
        <f>IF(OR(B9="",G9=""),"",ROUND((G9-B9)*1440,0))</f>
        <v/>
      </c>
      <c r="I9">
        <f>IF(H9="","",IF(H9&lt;=Dashboard!$B$6,"Sim","Não"))</f>
        <v/>
      </c>
      <c r="J9" s="25" t="n"/>
      <c r="K9" s="25" t="n"/>
      <c r="L9" s="26" t="n"/>
      <c r="M9" s="25" t="n"/>
    </row>
    <row r="10">
      <c r="A10" s="23" t="n"/>
      <c r="B10" s="24" t="n"/>
      <c r="C10" s="25" t="n"/>
      <c r="D10" s="25" t="n"/>
      <c r="E10" s="25" t="n"/>
      <c r="F10" s="25" t="n"/>
      <c r="G10" s="24" t="n"/>
      <c r="H10">
        <f>IF(OR(B10="",G10=""),"",ROUND((G10-B10)*1440,0))</f>
        <v/>
      </c>
      <c r="I10">
        <f>IF(H10="","",IF(H10&lt;=Dashboard!$B$6,"Sim","Não"))</f>
        <v/>
      </c>
      <c r="J10" s="25" t="n"/>
      <c r="K10" s="25" t="n"/>
      <c r="L10" s="26" t="n"/>
      <c r="M10" s="25" t="n"/>
    </row>
    <row r="11">
      <c r="A11" s="23" t="n"/>
      <c r="B11" s="24" t="n"/>
      <c r="C11" s="25" t="n"/>
      <c r="D11" s="25" t="n"/>
      <c r="E11" s="25" t="n"/>
      <c r="F11" s="25" t="n"/>
      <c r="G11" s="24" t="n"/>
      <c r="H11">
        <f>IF(OR(B11="",G11=""),"",ROUND((G11-B11)*1440,0))</f>
        <v/>
      </c>
      <c r="I11">
        <f>IF(H11="","",IF(H11&lt;=Dashboard!$B$6,"Sim","Não"))</f>
        <v/>
      </c>
      <c r="J11" s="25" t="n"/>
      <c r="K11" s="25" t="n"/>
      <c r="L11" s="26" t="n"/>
      <c r="M11" s="25" t="n"/>
    </row>
    <row r="12">
      <c r="A12" s="23" t="n"/>
      <c r="B12" s="24" t="n"/>
      <c r="C12" s="25" t="n"/>
      <c r="D12" s="25" t="n"/>
      <c r="E12" s="25" t="n"/>
      <c r="F12" s="25" t="n"/>
      <c r="G12" s="24" t="n"/>
      <c r="H12">
        <f>IF(OR(B12="",G12=""),"",ROUND((G12-B12)*1440,0))</f>
        <v/>
      </c>
      <c r="I12">
        <f>IF(H12="","",IF(H12&lt;=Dashboard!$B$6,"Sim","Não"))</f>
        <v/>
      </c>
      <c r="J12" s="25" t="n"/>
      <c r="K12" s="25" t="n"/>
      <c r="L12" s="26" t="n"/>
      <c r="M12" s="25" t="n"/>
    </row>
    <row r="13">
      <c r="A13" s="23" t="n"/>
      <c r="B13" s="24" t="n"/>
      <c r="C13" s="25" t="n"/>
      <c r="D13" s="25" t="n"/>
      <c r="E13" s="25" t="n"/>
      <c r="F13" s="25" t="n"/>
      <c r="G13" s="24" t="n"/>
      <c r="H13">
        <f>IF(OR(B13="",G13=""),"",ROUND((G13-B13)*1440,0))</f>
        <v/>
      </c>
      <c r="I13">
        <f>IF(H13="","",IF(H13&lt;=Dashboard!$B$6,"Sim","Não"))</f>
        <v/>
      </c>
      <c r="J13" s="25" t="n"/>
      <c r="K13" s="25" t="n"/>
      <c r="L13" s="26" t="n"/>
      <c r="M13" s="25" t="n"/>
    </row>
    <row r="14">
      <c r="A14" s="23" t="n"/>
      <c r="B14" s="24" t="n"/>
      <c r="C14" s="25" t="n"/>
      <c r="D14" s="25" t="n"/>
      <c r="E14" s="25" t="n"/>
      <c r="F14" s="25" t="n"/>
      <c r="G14" s="24" t="n"/>
      <c r="H14">
        <f>IF(OR(B14="",G14=""),"",ROUND((G14-B14)*1440,0))</f>
        <v/>
      </c>
      <c r="I14">
        <f>IF(H14="","",IF(H14&lt;=Dashboard!$B$6,"Sim","Não"))</f>
        <v/>
      </c>
      <c r="J14" s="25" t="n"/>
      <c r="K14" s="25" t="n"/>
      <c r="L14" s="26" t="n"/>
      <c r="M14" s="25" t="n"/>
    </row>
    <row r="15">
      <c r="A15" s="23" t="n"/>
      <c r="B15" s="24" t="n"/>
      <c r="C15" s="25" t="n"/>
      <c r="D15" s="25" t="n"/>
      <c r="E15" s="25" t="n"/>
      <c r="F15" s="25" t="n"/>
      <c r="G15" s="24" t="n"/>
      <c r="H15">
        <f>IF(OR(B15="",G15=""),"",ROUND((G15-B15)*1440,0))</f>
        <v/>
      </c>
      <c r="I15">
        <f>IF(H15="","",IF(H15&lt;=Dashboard!$B$6,"Sim","Não"))</f>
        <v/>
      </c>
      <c r="J15" s="25" t="n"/>
      <c r="K15" s="25" t="n"/>
      <c r="L15" s="26" t="n"/>
      <c r="M15" s="25" t="n"/>
    </row>
    <row r="16">
      <c r="A16" s="23" t="n"/>
      <c r="B16" s="24" t="n"/>
      <c r="C16" s="25" t="n"/>
      <c r="D16" s="25" t="n"/>
      <c r="E16" s="25" t="n"/>
      <c r="F16" s="25" t="n"/>
      <c r="G16" s="24" t="n"/>
      <c r="H16">
        <f>IF(OR(B16="",G16=""),"",ROUND((G16-B16)*1440,0))</f>
        <v/>
      </c>
      <c r="I16">
        <f>IF(H16="","",IF(H16&lt;=Dashboard!$B$6,"Sim","Não"))</f>
        <v/>
      </c>
      <c r="J16" s="25" t="n"/>
      <c r="K16" s="25" t="n"/>
      <c r="L16" s="26" t="n"/>
      <c r="M16" s="25" t="n"/>
    </row>
    <row r="17">
      <c r="A17" s="23" t="n"/>
      <c r="B17" s="24" t="n"/>
      <c r="C17" s="25" t="n"/>
      <c r="D17" s="25" t="n"/>
      <c r="E17" s="25" t="n"/>
      <c r="F17" s="25" t="n"/>
      <c r="G17" s="24" t="n"/>
      <c r="H17">
        <f>IF(OR(B17="",G17=""),"",ROUND((G17-B17)*1440,0))</f>
        <v/>
      </c>
      <c r="I17">
        <f>IF(H17="","",IF(H17&lt;=Dashboard!$B$6,"Sim","Não"))</f>
        <v/>
      </c>
      <c r="J17" s="25" t="n"/>
      <c r="K17" s="25" t="n"/>
      <c r="L17" s="26" t="n"/>
      <c r="M17" s="25" t="n"/>
    </row>
    <row r="18">
      <c r="A18" s="23" t="n"/>
      <c r="B18" s="24" t="n"/>
      <c r="C18" s="25" t="n"/>
      <c r="D18" s="25" t="n"/>
      <c r="E18" s="25" t="n"/>
      <c r="F18" s="25" t="n"/>
      <c r="G18" s="24" t="n"/>
      <c r="H18">
        <f>IF(OR(B18="",G18=""),"",ROUND((G18-B18)*1440,0))</f>
        <v/>
      </c>
      <c r="I18">
        <f>IF(H18="","",IF(H18&lt;=Dashboard!$B$6,"Sim","Não"))</f>
        <v/>
      </c>
      <c r="J18" s="25" t="n"/>
      <c r="K18" s="25" t="n"/>
      <c r="L18" s="26" t="n"/>
      <c r="M18" s="25" t="n"/>
    </row>
    <row r="19">
      <c r="A19" s="23" t="n"/>
      <c r="B19" s="24" t="n"/>
      <c r="C19" s="25" t="n"/>
      <c r="D19" s="25" t="n"/>
      <c r="E19" s="25" t="n"/>
      <c r="F19" s="25" t="n"/>
      <c r="G19" s="24" t="n"/>
      <c r="H19">
        <f>IF(OR(B19="",G19=""),"",ROUND((G19-B19)*1440,0))</f>
        <v/>
      </c>
      <c r="I19">
        <f>IF(H19="","",IF(H19&lt;=Dashboard!$B$6,"Sim","Não"))</f>
        <v/>
      </c>
      <c r="J19" s="25" t="n"/>
      <c r="K19" s="25" t="n"/>
      <c r="L19" s="26" t="n"/>
      <c r="M19" s="25" t="n"/>
    </row>
    <row r="20">
      <c r="A20" s="23" t="n"/>
      <c r="B20" s="24" t="n"/>
      <c r="C20" s="25" t="n"/>
      <c r="D20" s="25" t="n"/>
      <c r="E20" s="25" t="n"/>
      <c r="F20" s="25" t="n"/>
      <c r="G20" s="24" t="n"/>
      <c r="H20">
        <f>IF(OR(B20="",G20=""),"",ROUND((G20-B20)*1440,0))</f>
        <v/>
      </c>
      <c r="I20">
        <f>IF(H20="","",IF(H20&lt;=Dashboard!$B$6,"Sim","Não"))</f>
        <v/>
      </c>
      <c r="J20" s="25" t="n"/>
      <c r="K20" s="25" t="n"/>
      <c r="L20" s="26" t="n"/>
      <c r="M20" s="25" t="n"/>
    </row>
    <row r="21">
      <c r="A21" s="23" t="n"/>
      <c r="B21" s="24" t="n"/>
      <c r="C21" s="25" t="n"/>
      <c r="D21" s="25" t="n"/>
      <c r="E21" s="25" t="n"/>
      <c r="F21" s="25" t="n"/>
      <c r="G21" s="24" t="n"/>
      <c r="H21">
        <f>IF(OR(B21="",G21=""),"",ROUND((G21-B21)*1440,0))</f>
        <v/>
      </c>
      <c r="I21">
        <f>IF(H21="","",IF(H21&lt;=Dashboard!$B$6,"Sim","Não"))</f>
        <v/>
      </c>
      <c r="J21" s="25" t="n"/>
      <c r="K21" s="25" t="n"/>
      <c r="L21" s="26" t="n"/>
      <c r="M21" s="25" t="n"/>
    </row>
    <row r="22">
      <c r="A22" s="23" t="n"/>
      <c r="B22" s="24" t="n"/>
      <c r="C22" s="25" t="n"/>
      <c r="D22" s="25" t="n"/>
      <c r="E22" s="25" t="n"/>
      <c r="F22" s="25" t="n"/>
      <c r="G22" s="24" t="n"/>
      <c r="H22">
        <f>IF(OR(B22="",G22=""),"",ROUND((G22-B22)*1440,0))</f>
        <v/>
      </c>
      <c r="I22">
        <f>IF(H22="","",IF(H22&lt;=Dashboard!$B$6,"Sim","Não"))</f>
        <v/>
      </c>
      <c r="J22" s="25" t="n"/>
      <c r="K22" s="25" t="n"/>
      <c r="L22" s="26" t="n"/>
      <c r="M22" s="25" t="n"/>
    </row>
    <row r="23">
      <c r="A23" s="23" t="n"/>
      <c r="B23" s="24" t="n"/>
      <c r="C23" s="25" t="n"/>
      <c r="D23" s="25" t="n"/>
      <c r="E23" s="25" t="n"/>
      <c r="F23" s="25" t="n"/>
      <c r="G23" s="24" t="n"/>
      <c r="H23">
        <f>IF(OR(B23="",G23=""),"",ROUND((G23-B23)*1440,0))</f>
        <v/>
      </c>
      <c r="I23">
        <f>IF(H23="","",IF(H23&lt;=Dashboard!$B$6,"Sim","Não"))</f>
        <v/>
      </c>
      <c r="J23" s="25" t="n"/>
      <c r="K23" s="25" t="n"/>
      <c r="L23" s="26" t="n"/>
      <c r="M23" s="25" t="n"/>
    </row>
    <row r="24">
      <c r="A24" s="23" t="n"/>
      <c r="B24" s="24" t="n"/>
      <c r="C24" s="25" t="n"/>
      <c r="D24" s="25" t="n"/>
      <c r="E24" s="25" t="n"/>
      <c r="F24" s="25" t="n"/>
      <c r="G24" s="24" t="n"/>
      <c r="H24">
        <f>IF(OR(B24="",G24=""),"",ROUND((G24-B24)*1440,0))</f>
        <v/>
      </c>
      <c r="I24">
        <f>IF(H24="","",IF(H24&lt;=Dashboard!$B$6,"Sim","Não"))</f>
        <v/>
      </c>
      <c r="J24" s="25" t="n"/>
      <c r="K24" s="25" t="n"/>
      <c r="L24" s="26" t="n"/>
      <c r="M24" s="25" t="n"/>
    </row>
    <row r="25">
      <c r="A25" s="23" t="n"/>
      <c r="B25" s="24" t="n"/>
      <c r="C25" s="25" t="n"/>
      <c r="D25" s="25" t="n"/>
      <c r="E25" s="25" t="n"/>
      <c r="F25" s="25" t="n"/>
      <c r="G25" s="24" t="n"/>
      <c r="H25">
        <f>IF(OR(B25="",G25=""),"",ROUND((G25-B25)*1440,0))</f>
        <v/>
      </c>
      <c r="I25">
        <f>IF(H25="","",IF(H25&lt;=Dashboard!$B$6,"Sim","Não"))</f>
        <v/>
      </c>
      <c r="J25" s="25" t="n"/>
      <c r="K25" s="25" t="n"/>
      <c r="L25" s="26" t="n"/>
      <c r="M25" s="25" t="n"/>
    </row>
    <row r="26">
      <c r="A26" s="23" t="n"/>
      <c r="B26" s="24" t="n"/>
      <c r="C26" s="25" t="n"/>
      <c r="D26" s="25" t="n"/>
      <c r="E26" s="25" t="n"/>
      <c r="F26" s="25" t="n"/>
      <c r="G26" s="24" t="n"/>
      <c r="H26">
        <f>IF(OR(B26="",G26=""),"",ROUND((G26-B26)*1440,0))</f>
        <v/>
      </c>
      <c r="I26">
        <f>IF(H26="","",IF(H26&lt;=Dashboard!$B$6,"Sim","Não"))</f>
        <v/>
      </c>
      <c r="J26" s="25" t="n"/>
      <c r="K26" s="25" t="n"/>
      <c r="L26" s="26" t="n"/>
      <c r="M26" s="25" t="n"/>
    </row>
    <row r="27">
      <c r="A27" s="23" t="n"/>
      <c r="B27" s="24" t="n"/>
      <c r="C27" s="25" t="n"/>
      <c r="D27" s="25" t="n"/>
      <c r="E27" s="25" t="n"/>
      <c r="F27" s="25" t="n"/>
      <c r="G27" s="24" t="n"/>
      <c r="H27">
        <f>IF(OR(B27="",G27=""),"",ROUND((G27-B27)*1440,0))</f>
        <v/>
      </c>
      <c r="I27">
        <f>IF(H27="","",IF(H27&lt;=Dashboard!$B$6,"Sim","Não"))</f>
        <v/>
      </c>
      <c r="J27" s="25" t="n"/>
      <c r="K27" s="25" t="n"/>
      <c r="L27" s="26" t="n"/>
      <c r="M27" s="25" t="n"/>
    </row>
    <row r="28">
      <c r="A28" s="23" t="n"/>
      <c r="B28" s="24" t="n"/>
      <c r="C28" s="25" t="n"/>
      <c r="D28" s="25" t="n"/>
      <c r="E28" s="25" t="n"/>
      <c r="F28" s="25" t="n"/>
      <c r="G28" s="24" t="n"/>
      <c r="H28">
        <f>IF(OR(B28="",G28=""),"",ROUND((G28-B28)*1440,0))</f>
        <v/>
      </c>
      <c r="I28">
        <f>IF(H28="","",IF(H28&lt;=Dashboard!$B$6,"Sim","Não"))</f>
        <v/>
      </c>
      <c r="J28" s="25" t="n"/>
      <c r="K28" s="25" t="n"/>
      <c r="L28" s="26" t="n"/>
      <c r="M28" s="25" t="n"/>
    </row>
    <row r="29">
      <c r="A29" s="23" t="n"/>
      <c r="B29" s="24" t="n"/>
      <c r="C29" s="25" t="n"/>
      <c r="D29" s="25" t="n"/>
      <c r="E29" s="25" t="n"/>
      <c r="F29" s="25" t="n"/>
      <c r="G29" s="24" t="n"/>
      <c r="H29">
        <f>IF(OR(B29="",G29=""),"",ROUND((G29-B29)*1440,0))</f>
        <v/>
      </c>
      <c r="I29">
        <f>IF(H29="","",IF(H29&lt;=Dashboard!$B$6,"Sim","Não"))</f>
        <v/>
      </c>
      <c r="J29" s="25" t="n"/>
      <c r="K29" s="25" t="n"/>
      <c r="L29" s="26" t="n"/>
      <c r="M29" s="25" t="n"/>
    </row>
    <row r="30">
      <c r="A30" s="23" t="n"/>
      <c r="B30" s="24" t="n"/>
      <c r="C30" s="25" t="n"/>
      <c r="D30" s="25" t="n"/>
      <c r="E30" s="25" t="n"/>
      <c r="F30" s="25" t="n"/>
      <c r="G30" s="24" t="n"/>
      <c r="H30">
        <f>IF(OR(B30="",G30=""),"",ROUND((G30-B30)*1440,0))</f>
        <v/>
      </c>
      <c r="I30">
        <f>IF(H30="","",IF(H30&lt;=Dashboard!$B$6,"Sim","Não"))</f>
        <v/>
      </c>
      <c r="J30" s="25" t="n"/>
      <c r="K30" s="25" t="n"/>
      <c r="L30" s="26" t="n"/>
      <c r="M30" s="25" t="n"/>
    </row>
    <row r="31">
      <c r="A31" s="23" t="n"/>
      <c r="B31" s="24" t="n"/>
      <c r="C31" s="25" t="n"/>
      <c r="D31" s="25" t="n"/>
      <c r="E31" s="25" t="n"/>
      <c r="F31" s="25" t="n"/>
      <c r="G31" s="24" t="n"/>
      <c r="H31">
        <f>IF(OR(B31="",G31=""),"",ROUND((G31-B31)*1440,0))</f>
        <v/>
      </c>
      <c r="I31">
        <f>IF(H31="","",IF(H31&lt;=Dashboard!$B$6,"Sim","Não"))</f>
        <v/>
      </c>
      <c r="J31" s="25" t="n"/>
      <c r="K31" s="25" t="n"/>
      <c r="L31" s="26" t="n"/>
      <c r="M31" s="25" t="n"/>
    </row>
    <row r="32">
      <c r="A32" s="23" t="n"/>
      <c r="B32" s="24" t="n"/>
      <c r="C32" s="25" t="n"/>
      <c r="D32" s="25" t="n"/>
      <c r="E32" s="25" t="n"/>
      <c r="F32" s="25" t="n"/>
      <c r="G32" s="24" t="n"/>
      <c r="H32">
        <f>IF(OR(B32="",G32=""),"",ROUND((G32-B32)*1440,0))</f>
        <v/>
      </c>
      <c r="I32">
        <f>IF(H32="","",IF(H32&lt;=Dashboard!$B$6,"Sim","Não"))</f>
        <v/>
      </c>
      <c r="J32" s="25" t="n"/>
      <c r="K32" s="25" t="n"/>
      <c r="L32" s="26" t="n"/>
      <c r="M32" s="25" t="n"/>
    </row>
    <row r="33">
      <c r="A33" s="23" t="n"/>
      <c r="B33" s="24" t="n"/>
      <c r="C33" s="25" t="n"/>
      <c r="D33" s="25" t="n"/>
      <c r="E33" s="25" t="n"/>
      <c r="F33" s="25" t="n"/>
      <c r="G33" s="24" t="n"/>
      <c r="H33">
        <f>IF(OR(B33="",G33=""),"",ROUND((G33-B33)*1440,0))</f>
        <v/>
      </c>
      <c r="I33">
        <f>IF(H33="","",IF(H33&lt;=Dashboard!$B$6,"Sim","Não"))</f>
        <v/>
      </c>
      <c r="J33" s="25" t="n"/>
      <c r="K33" s="25" t="n"/>
      <c r="L33" s="26" t="n"/>
      <c r="M33" s="25" t="n"/>
    </row>
    <row r="34">
      <c r="A34" s="23" t="n"/>
      <c r="B34" s="24" t="n"/>
      <c r="C34" s="25" t="n"/>
      <c r="D34" s="25" t="n"/>
      <c r="E34" s="25" t="n"/>
      <c r="F34" s="25" t="n"/>
      <c r="G34" s="24" t="n"/>
      <c r="H34">
        <f>IF(OR(B34="",G34=""),"",ROUND((G34-B34)*1440,0))</f>
        <v/>
      </c>
      <c r="I34">
        <f>IF(H34="","",IF(H34&lt;=Dashboard!$B$6,"Sim","Não"))</f>
        <v/>
      </c>
      <c r="J34" s="25" t="n"/>
      <c r="K34" s="25" t="n"/>
      <c r="L34" s="26" t="n"/>
      <c r="M34" s="25" t="n"/>
    </row>
    <row r="35">
      <c r="A35" s="23" t="n"/>
      <c r="B35" s="24" t="n"/>
      <c r="C35" s="25" t="n"/>
      <c r="D35" s="25" t="n"/>
      <c r="E35" s="25" t="n"/>
      <c r="F35" s="25" t="n"/>
      <c r="G35" s="24" t="n"/>
      <c r="H35">
        <f>IF(OR(B35="",G35=""),"",ROUND((G35-B35)*1440,0))</f>
        <v/>
      </c>
      <c r="I35">
        <f>IF(H35="","",IF(H35&lt;=Dashboard!$B$6,"Sim","Não"))</f>
        <v/>
      </c>
      <c r="J35" s="25" t="n"/>
      <c r="K35" s="25" t="n"/>
      <c r="L35" s="26" t="n"/>
      <c r="M35" s="25" t="n"/>
    </row>
    <row r="36">
      <c r="A36" s="23" t="n"/>
      <c r="B36" s="24" t="n"/>
      <c r="C36" s="25" t="n"/>
      <c r="D36" s="25" t="n"/>
      <c r="E36" s="25" t="n"/>
      <c r="F36" s="25" t="n"/>
      <c r="G36" s="24" t="n"/>
      <c r="H36">
        <f>IF(OR(B36="",G36=""),"",ROUND((G36-B36)*1440,0))</f>
        <v/>
      </c>
      <c r="I36">
        <f>IF(H36="","",IF(H36&lt;=Dashboard!$B$6,"Sim","Não"))</f>
        <v/>
      </c>
      <c r="J36" s="25" t="n"/>
      <c r="K36" s="25" t="n"/>
      <c r="L36" s="26" t="n"/>
      <c r="M36" s="25" t="n"/>
    </row>
    <row r="37">
      <c r="A37" s="23" t="n"/>
      <c r="B37" s="24" t="n"/>
      <c r="C37" s="25" t="n"/>
      <c r="D37" s="25" t="n"/>
      <c r="E37" s="25" t="n"/>
      <c r="F37" s="25" t="n"/>
      <c r="G37" s="24" t="n"/>
      <c r="H37">
        <f>IF(OR(B37="",G37=""),"",ROUND((G37-B37)*1440,0))</f>
        <v/>
      </c>
      <c r="I37">
        <f>IF(H37="","",IF(H37&lt;=Dashboard!$B$6,"Sim","Não"))</f>
        <v/>
      </c>
      <c r="J37" s="25" t="n"/>
      <c r="K37" s="25" t="n"/>
      <c r="L37" s="26" t="n"/>
      <c r="M37" s="25" t="n"/>
    </row>
    <row r="38">
      <c r="A38" s="23" t="n"/>
      <c r="B38" s="24" t="n"/>
      <c r="C38" s="25" t="n"/>
      <c r="D38" s="25" t="n"/>
      <c r="E38" s="25" t="n"/>
      <c r="F38" s="25" t="n"/>
      <c r="G38" s="24" t="n"/>
      <c r="H38">
        <f>IF(OR(B38="",G38=""),"",ROUND((G38-B38)*1440,0))</f>
        <v/>
      </c>
      <c r="I38">
        <f>IF(H38="","",IF(H38&lt;=Dashboard!$B$6,"Sim","Não"))</f>
        <v/>
      </c>
      <c r="J38" s="25" t="n"/>
      <c r="K38" s="25" t="n"/>
      <c r="L38" s="26" t="n"/>
      <c r="M38" s="25" t="n"/>
    </row>
    <row r="39">
      <c r="A39" s="23" t="n"/>
      <c r="B39" s="24" t="n"/>
      <c r="C39" s="25" t="n"/>
      <c r="D39" s="25" t="n"/>
      <c r="E39" s="25" t="n"/>
      <c r="F39" s="25" t="n"/>
      <c r="G39" s="24" t="n"/>
      <c r="H39">
        <f>IF(OR(B39="",G39=""),"",ROUND((G39-B39)*1440,0))</f>
        <v/>
      </c>
      <c r="I39">
        <f>IF(H39="","",IF(H39&lt;=Dashboard!$B$6,"Sim","Não"))</f>
        <v/>
      </c>
      <c r="J39" s="25" t="n"/>
      <c r="K39" s="25" t="n"/>
      <c r="L39" s="26" t="n"/>
      <c r="M39" s="25" t="n"/>
    </row>
    <row r="40">
      <c r="A40" s="23" t="n"/>
      <c r="B40" s="24" t="n"/>
      <c r="C40" s="25" t="n"/>
      <c r="D40" s="25" t="n"/>
      <c r="E40" s="25" t="n"/>
      <c r="F40" s="25" t="n"/>
      <c r="G40" s="24" t="n"/>
      <c r="H40">
        <f>IF(OR(B40="",G40=""),"",ROUND((G40-B40)*1440,0))</f>
        <v/>
      </c>
      <c r="I40">
        <f>IF(H40="","",IF(H40&lt;=Dashboard!$B$6,"Sim","Não"))</f>
        <v/>
      </c>
      <c r="J40" s="25" t="n"/>
      <c r="K40" s="25" t="n"/>
      <c r="L40" s="26" t="n"/>
      <c r="M40" s="25" t="n"/>
    </row>
    <row r="41">
      <c r="A41" s="23" t="n"/>
      <c r="B41" s="24" t="n"/>
      <c r="C41" s="25" t="n"/>
      <c r="D41" s="25" t="n"/>
      <c r="E41" s="25" t="n"/>
      <c r="F41" s="25" t="n"/>
      <c r="G41" s="24" t="n"/>
      <c r="H41">
        <f>IF(OR(B41="",G41=""),"",ROUND((G41-B41)*1440,0))</f>
        <v/>
      </c>
      <c r="I41">
        <f>IF(H41="","",IF(H41&lt;=Dashboard!$B$6,"Sim","Não"))</f>
        <v/>
      </c>
      <c r="J41" s="25" t="n"/>
      <c r="K41" s="25" t="n"/>
      <c r="L41" s="26" t="n"/>
      <c r="M41" s="25" t="n"/>
    </row>
    <row r="42">
      <c r="A42" s="23" t="n"/>
      <c r="B42" s="24" t="n"/>
      <c r="C42" s="25" t="n"/>
      <c r="D42" s="25" t="n"/>
      <c r="E42" s="25" t="n"/>
      <c r="F42" s="25" t="n"/>
      <c r="G42" s="24" t="n"/>
      <c r="H42">
        <f>IF(OR(B42="",G42=""),"",ROUND((G42-B42)*1440,0))</f>
        <v/>
      </c>
      <c r="I42">
        <f>IF(H42="","",IF(H42&lt;=Dashboard!$B$6,"Sim","Não"))</f>
        <v/>
      </c>
      <c r="J42" s="25" t="n"/>
      <c r="K42" s="25" t="n"/>
      <c r="L42" s="26" t="n"/>
      <c r="M42" s="25" t="n"/>
    </row>
    <row r="43">
      <c r="A43" s="23" t="n"/>
      <c r="B43" s="24" t="n"/>
      <c r="C43" s="25" t="n"/>
      <c r="D43" s="25" t="n"/>
      <c r="E43" s="25" t="n"/>
      <c r="F43" s="25" t="n"/>
      <c r="G43" s="24" t="n"/>
      <c r="H43">
        <f>IF(OR(B43="",G43=""),"",ROUND((G43-B43)*1440,0))</f>
        <v/>
      </c>
      <c r="I43">
        <f>IF(H43="","",IF(H43&lt;=Dashboard!$B$6,"Sim","Não"))</f>
        <v/>
      </c>
      <c r="J43" s="25" t="n"/>
      <c r="K43" s="25" t="n"/>
      <c r="L43" s="26" t="n"/>
      <c r="M43" s="25" t="n"/>
    </row>
    <row r="44">
      <c r="A44" s="23" t="n"/>
      <c r="B44" s="24" t="n"/>
      <c r="C44" s="25" t="n"/>
      <c r="D44" s="25" t="n"/>
      <c r="E44" s="25" t="n"/>
      <c r="F44" s="25" t="n"/>
      <c r="G44" s="24" t="n"/>
      <c r="H44">
        <f>IF(OR(B44="",G44=""),"",ROUND((G44-B44)*1440,0))</f>
        <v/>
      </c>
      <c r="I44">
        <f>IF(H44="","",IF(H44&lt;=Dashboard!$B$6,"Sim","Não"))</f>
        <v/>
      </c>
      <c r="J44" s="25" t="n"/>
      <c r="K44" s="25" t="n"/>
      <c r="L44" s="26" t="n"/>
      <c r="M44" s="25" t="n"/>
    </row>
    <row r="45">
      <c r="A45" s="23" t="n"/>
      <c r="B45" s="24" t="n"/>
      <c r="C45" s="25" t="n"/>
      <c r="D45" s="25" t="n"/>
      <c r="E45" s="25" t="n"/>
      <c r="F45" s="25" t="n"/>
      <c r="G45" s="24" t="n"/>
      <c r="H45">
        <f>IF(OR(B45="",G45=""),"",ROUND((G45-B45)*1440,0))</f>
        <v/>
      </c>
      <c r="I45">
        <f>IF(H45="","",IF(H45&lt;=Dashboard!$B$6,"Sim","Não"))</f>
        <v/>
      </c>
      <c r="J45" s="25" t="n"/>
      <c r="K45" s="25" t="n"/>
      <c r="L45" s="26" t="n"/>
      <c r="M45" s="25" t="n"/>
    </row>
    <row r="46">
      <c r="A46" s="23" t="n"/>
      <c r="B46" s="24" t="n"/>
      <c r="C46" s="25" t="n"/>
      <c r="D46" s="25" t="n"/>
      <c r="E46" s="25" t="n"/>
      <c r="F46" s="25" t="n"/>
      <c r="G46" s="24" t="n"/>
      <c r="H46">
        <f>IF(OR(B46="",G46=""),"",ROUND((G46-B46)*1440,0))</f>
        <v/>
      </c>
      <c r="I46">
        <f>IF(H46="","",IF(H46&lt;=Dashboard!$B$6,"Sim","Não"))</f>
        <v/>
      </c>
      <c r="J46" s="25" t="n"/>
      <c r="K46" s="25" t="n"/>
      <c r="L46" s="26" t="n"/>
      <c r="M46" s="25" t="n"/>
    </row>
    <row r="47">
      <c r="A47" s="23" t="n"/>
      <c r="B47" s="24" t="n"/>
      <c r="C47" s="25" t="n"/>
      <c r="D47" s="25" t="n"/>
      <c r="E47" s="25" t="n"/>
      <c r="F47" s="25" t="n"/>
      <c r="G47" s="24" t="n"/>
      <c r="H47">
        <f>IF(OR(B47="",G47=""),"",ROUND((G47-B47)*1440,0))</f>
        <v/>
      </c>
      <c r="I47">
        <f>IF(H47="","",IF(H47&lt;=Dashboard!$B$6,"Sim","Não"))</f>
        <v/>
      </c>
      <c r="J47" s="25" t="n"/>
      <c r="K47" s="25" t="n"/>
      <c r="L47" s="26" t="n"/>
      <c r="M47" s="25" t="n"/>
    </row>
    <row r="48">
      <c r="A48" s="23" t="n"/>
      <c r="B48" s="24" t="n"/>
      <c r="C48" s="25" t="n"/>
      <c r="D48" s="25" t="n"/>
      <c r="E48" s="25" t="n"/>
      <c r="F48" s="25" t="n"/>
      <c r="G48" s="24" t="n"/>
      <c r="H48">
        <f>IF(OR(B48="",G48=""),"",ROUND((G48-B48)*1440,0))</f>
        <v/>
      </c>
      <c r="I48">
        <f>IF(H48="","",IF(H48&lt;=Dashboard!$B$6,"Sim","Não"))</f>
        <v/>
      </c>
      <c r="J48" s="25" t="n"/>
      <c r="K48" s="25" t="n"/>
      <c r="L48" s="26" t="n"/>
      <c r="M48" s="25" t="n"/>
    </row>
    <row r="49">
      <c r="A49" s="23" t="n"/>
      <c r="B49" s="24" t="n"/>
      <c r="C49" s="25" t="n"/>
      <c r="D49" s="25" t="n"/>
      <c r="E49" s="25" t="n"/>
      <c r="F49" s="25" t="n"/>
      <c r="G49" s="24" t="n"/>
      <c r="H49">
        <f>IF(OR(B49="",G49=""),"",ROUND((G49-B49)*1440,0))</f>
        <v/>
      </c>
      <c r="I49">
        <f>IF(H49="","",IF(H49&lt;=Dashboard!$B$6,"Sim","Não"))</f>
        <v/>
      </c>
      <c r="J49" s="25" t="n"/>
      <c r="K49" s="25" t="n"/>
      <c r="L49" s="26" t="n"/>
      <c r="M49" s="25" t="n"/>
    </row>
    <row r="50">
      <c r="A50" s="23" t="n"/>
      <c r="B50" s="24" t="n"/>
      <c r="C50" s="25" t="n"/>
      <c r="D50" s="25" t="n"/>
      <c r="E50" s="25" t="n"/>
      <c r="F50" s="25" t="n"/>
      <c r="G50" s="24" t="n"/>
      <c r="H50">
        <f>IF(OR(B50="",G50=""),"",ROUND((G50-B50)*1440,0))</f>
        <v/>
      </c>
      <c r="I50">
        <f>IF(H50="","",IF(H50&lt;=Dashboard!$B$6,"Sim","Não"))</f>
        <v/>
      </c>
      <c r="J50" s="25" t="n"/>
      <c r="K50" s="25" t="n"/>
      <c r="L50" s="26" t="n"/>
      <c r="M50" s="25" t="n"/>
    </row>
    <row r="51">
      <c r="A51" s="23" t="n"/>
      <c r="B51" s="24" t="n"/>
      <c r="C51" s="25" t="n"/>
      <c r="D51" s="25" t="n"/>
      <c r="E51" s="25" t="n"/>
      <c r="F51" s="25" t="n"/>
      <c r="G51" s="24" t="n"/>
      <c r="H51">
        <f>IF(OR(B51="",G51=""),"",ROUND((G51-B51)*1440,0))</f>
        <v/>
      </c>
      <c r="I51">
        <f>IF(H51="","",IF(H51&lt;=Dashboard!$B$6,"Sim","Não"))</f>
        <v/>
      </c>
      <c r="J51" s="25" t="n"/>
      <c r="K51" s="25" t="n"/>
      <c r="L51" s="26" t="n"/>
      <c r="M51" s="25" t="n"/>
    </row>
    <row r="52">
      <c r="A52" s="23" t="n"/>
      <c r="B52" s="24" t="n"/>
      <c r="C52" s="25" t="n"/>
      <c r="D52" s="25" t="n"/>
      <c r="E52" s="25" t="n"/>
      <c r="F52" s="25" t="n"/>
      <c r="G52" s="24" t="n"/>
      <c r="H52">
        <f>IF(OR(B52="",G52=""),"",ROUND((G52-B52)*1440,0))</f>
        <v/>
      </c>
      <c r="I52">
        <f>IF(H52="","",IF(H52&lt;=Dashboard!$B$6,"Sim","Não"))</f>
        <v/>
      </c>
      <c r="J52" s="25" t="n"/>
      <c r="K52" s="25" t="n"/>
      <c r="L52" s="26" t="n"/>
      <c r="M52" s="25" t="n"/>
    </row>
    <row r="53">
      <c r="A53" s="23" t="n"/>
      <c r="B53" s="24" t="n"/>
      <c r="C53" s="25" t="n"/>
      <c r="D53" s="25" t="n"/>
      <c r="E53" s="25" t="n"/>
      <c r="F53" s="25" t="n"/>
      <c r="G53" s="24" t="n"/>
      <c r="H53">
        <f>IF(OR(B53="",G53=""),"",ROUND((G53-B53)*1440,0))</f>
        <v/>
      </c>
      <c r="I53">
        <f>IF(H53="","",IF(H53&lt;=Dashboard!$B$6,"Sim","Não"))</f>
        <v/>
      </c>
      <c r="J53" s="25" t="n"/>
      <c r="K53" s="25" t="n"/>
      <c r="L53" s="26" t="n"/>
      <c r="M53" s="25" t="n"/>
    </row>
    <row r="54">
      <c r="A54" s="23" t="n"/>
      <c r="B54" s="24" t="n"/>
      <c r="C54" s="25" t="n"/>
      <c r="D54" s="25" t="n"/>
      <c r="E54" s="25" t="n"/>
      <c r="F54" s="25" t="n"/>
      <c r="G54" s="24" t="n"/>
      <c r="H54">
        <f>IF(OR(B54="",G54=""),"",ROUND((G54-B54)*1440,0))</f>
        <v/>
      </c>
      <c r="I54">
        <f>IF(H54="","",IF(H54&lt;=Dashboard!$B$6,"Sim","Não"))</f>
        <v/>
      </c>
      <c r="J54" s="25" t="n"/>
      <c r="K54" s="25" t="n"/>
      <c r="L54" s="26" t="n"/>
      <c r="M54" s="25" t="n"/>
    </row>
    <row r="55">
      <c r="A55" s="23" t="n"/>
      <c r="B55" s="24" t="n"/>
      <c r="C55" s="25" t="n"/>
      <c r="D55" s="25" t="n"/>
      <c r="E55" s="25" t="n"/>
      <c r="F55" s="25" t="n"/>
      <c r="G55" s="24" t="n"/>
      <c r="H55">
        <f>IF(OR(B55="",G55=""),"",ROUND((G55-B55)*1440,0))</f>
        <v/>
      </c>
      <c r="I55">
        <f>IF(H55="","",IF(H55&lt;=Dashboard!$B$6,"Sim","Não"))</f>
        <v/>
      </c>
      <c r="J55" s="25" t="n"/>
      <c r="K55" s="25" t="n"/>
      <c r="L55" s="26" t="n"/>
      <c r="M55" s="25" t="n"/>
    </row>
    <row r="56">
      <c r="A56" s="23" t="n"/>
      <c r="B56" s="24" t="n"/>
      <c r="C56" s="25" t="n"/>
      <c r="D56" s="25" t="n"/>
      <c r="E56" s="25" t="n"/>
      <c r="F56" s="25" t="n"/>
      <c r="G56" s="24" t="n"/>
      <c r="H56">
        <f>IF(OR(B56="",G56=""),"",ROUND((G56-B56)*1440,0))</f>
        <v/>
      </c>
      <c r="I56">
        <f>IF(H56="","",IF(H56&lt;=Dashboard!$B$6,"Sim","Não"))</f>
        <v/>
      </c>
      <c r="J56" s="25" t="n"/>
      <c r="K56" s="25" t="n"/>
      <c r="L56" s="26" t="n"/>
      <c r="M56" s="25" t="n"/>
    </row>
    <row r="57">
      <c r="A57" s="23" t="n"/>
      <c r="B57" s="24" t="n"/>
      <c r="C57" s="25" t="n"/>
      <c r="D57" s="25" t="n"/>
      <c r="E57" s="25" t="n"/>
      <c r="F57" s="25" t="n"/>
      <c r="G57" s="24" t="n"/>
      <c r="H57">
        <f>IF(OR(B57="",G57=""),"",ROUND((G57-B57)*1440,0))</f>
        <v/>
      </c>
      <c r="I57">
        <f>IF(H57="","",IF(H57&lt;=Dashboard!$B$6,"Sim","Não"))</f>
        <v/>
      </c>
      <c r="J57" s="25" t="n"/>
      <c r="K57" s="25" t="n"/>
      <c r="L57" s="26" t="n"/>
      <c r="M57" s="25" t="n"/>
    </row>
    <row r="58">
      <c r="A58" s="23" t="n"/>
      <c r="B58" s="24" t="n"/>
      <c r="C58" s="25" t="n"/>
      <c r="D58" s="25" t="n"/>
      <c r="E58" s="25" t="n"/>
      <c r="F58" s="25" t="n"/>
      <c r="G58" s="24" t="n"/>
      <c r="H58">
        <f>IF(OR(B58="",G58=""),"",ROUND((G58-B58)*1440,0))</f>
        <v/>
      </c>
      <c r="I58">
        <f>IF(H58="","",IF(H58&lt;=Dashboard!$B$6,"Sim","Não"))</f>
        <v/>
      </c>
      <c r="J58" s="25" t="n"/>
      <c r="K58" s="25" t="n"/>
      <c r="L58" s="26" t="n"/>
      <c r="M58" s="25" t="n"/>
    </row>
    <row r="59">
      <c r="A59" s="23" t="n"/>
      <c r="B59" s="24" t="n"/>
      <c r="C59" s="25" t="n"/>
      <c r="D59" s="25" t="n"/>
      <c r="E59" s="25" t="n"/>
      <c r="F59" s="25" t="n"/>
      <c r="G59" s="24" t="n"/>
      <c r="H59">
        <f>IF(OR(B59="",G59=""),"",ROUND((G59-B59)*1440,0))</f>
        <v/>
      </c>
      <c r="I59">
        <f>IF(H59="","",IF(H59&lt;=Dashboard!$B$6,"Sim","Não"))</f>
        <v/>
      </c>
      <c r="J59" s="25" t="n"/>
      <c r="K59" s="25" t="n"/>
      <c r="L59" s="26" t="n"/>
      <c r="M59" s="25" t="n"/>
    </row>
    <row r="60">
      <c r="A60" s="23" t="n"/>
      <c r="B60" s="24" t="n"/>
      <c r="C60" s="25" t="n"/>
      <c r="D60" s="25" t="n"/>
      <c r="E60" s="25" t="n"/>
      <c r="F60" s="25" t="n"/>
      <c r="G60" s="24" t="n"/>
      <c r="H60">
        <f>IF(OR(B60="",G60=""),"",ROUND((G60-B60)*1440,0))</f>
        <v/>
      </c>
      <c r="I60">
        <f>IF(H60="","",IF(H60&lt;=Dashboard!$B$6,"Sim","Não"))</f>
        <v/>
      </c>
      <c r="J60" s="25" t="n"/>
      <c r="K60" s="25" t="n"/>
      <c r="L60" s="26" t="n"/>
      <c r="M60" s="25" t="n"/>
    </row>
    <row r="61">
      <c r="A61" s="23" t="n"/>
      <c r="B61" s="24" t="n"/>
      <c r="C61" s="25" t="n"/>
      <c r="D61" s="25" t="n"/>
      <c r="E61" s="25" t="n"/>
      <c r="F61" s="25" t="n"/>
      <c r="G61" s="24" t="n"/>
      <c r="H61">
        <f>IF(OR(B61="",G61=""),"",ROUND((G61-B61)*1440,0))</f>
        <v/>
      </c>
      <c r="I61">
        <f>IF(H61="","",IF(H61&lt;=Dashboard!$B$6,"Sim","Não"))</f>
        <v/>
      </c>
      <c r="J61" s="25" t="n"/>
      <c r="K61" s="25" t="n"/>
      <c r="L61" s="26" t="n"/>
      <c r="M61" s="25" t="n"/>
    </row>
    <row r="62">
      <c r="A62" s="23" t="n"/>
      <c r="B62" s="24" t="n"/>
      <c r="C62" s="25" t="n"/>
      <c r="D62" s="25" t="n"/>
      <c r="E62" s="25" t="n"/>
      <c r="F62" s="25" t="n"/>
      <c r="G62" s="24" t="n"/>
      <c r="H62">
        <f>IF(OR(B62="",G62=""),"",ROUND((G62-B62)*1440,0))</f>
        <v/>
      </c>
      <c r="I62">
        <f>IF(H62="","",IF(H62&lt;=Dashboard!$B$6,"Sim","Não"))</f>
        <v/>
      </c>
      <c r="J62" s="25" t="n"/>
      <c r="K62" s="25" t="n"/>
      <c r="L62" s="26" t="n"/>
      <c r="M62" s="25" t="n"/>
    </row>
    <row r="63">
      <c r="A63" s="23" t="n"/>
      <c r="B63" s="24" t="n"/>
      <c r="C63" s="25" t="n"/>
      <c r="D63" s="25" t="n"/>
      <c r="E63" s="25" t="n"/>
      <c r="F63" s="25" t="n"/>
      <c r="G63" s="24" t="n"/>
      <c r="H63">
        <f>IF(OR(B63="",G63=""),"",ROUND((G63-B63)*1440,0))</f>
        <v/>
      </c>
      <c r="I63">
        <f>IF(H63="","",IF(H63&lt;=Dashboard!$B$6,"Sim","Não"))</f>
        <v/>
      </c>
      <c r="J63" s="25" t="n"/>
      <c r="K63" s="25" t="n"/>
      <c r="L63" s="26" t="n"/>
      <c r="M63" s="25" t="n"/>
    </row>
    <row r="64">
      <c r="A64" s="23" t="n"/>
      <c r="B64" s="24" t="n"/>
      <c r="C64" s="25" t="n"/>
      <c r="D64" s="25" t="n"/>
      <c r="E64" s="25" t="n"/>
      <c r="F64" s="25" t="n"/>
      <c r="G64" s="24" t="n"/>
      <c r="H64">
        <f>IF(OR(B64="",G64=""),"",ROUND((G64-B64)*1440,0))</f>
        <v/>
      </c>
      <c r="I64">
        <f>IF(H64="","",IF(H64&lt;=Dashboard!$B$6,"Sim","Não"))</f>
        <v/>
      </c>
      <c r="J64" s="25" t="n"/>
      <c r="K64" s="25" t="n"/>
      <c r="L64" s="26" t="n"/>
      <c r="M64" s="25" t="n"/>
    </row>
    <row r="65">
      <c r="A65" s="23" t="n"/>
      <c r="B65" s="24" t="n"/>
      <c r="C65" s="25" t="n"/>
      <c r="D65" s="25" t="n"/>
      <c r="E65" s="25" t="n"/>
      <c r="F65" s="25" t="n"/>
      <c r="G65" s="24" t="n"/>
      <c r="H65">
        <f>IF(OR(B65="",G65=""),"",ROUND((G65-B65)*1440,0))</f>
        <v/>
      </c>
      <c r="I65">
        <f>IF(H65="","",IF(H65&lt;=Dashboard!$B$6,"Sim","Não"))</f>
        <v/>
      </c>
      <c r="J65" s="25" t="n"/>
      <c r="K65" s="25" t="n"/>
      <c r="L65" s="26" t="n"/>
      <c r="M65" s="25" t="n"/>
    </row>
    <row r="66">
      <c r="A66" s="23" t="n"/>
      <c r="B66" s="24" t="n"/>
      <c r="C66" s="25" t="n"/>
      <c r="D66" s="25" t="n"/>
      <c r="E66" s="25" t="n"/>
      <c r="F66" s="25" t="n"/>
      <c r="G66" s="24" t="n"/>
      <c r="H66">
        <f>IF(OR(B66="",G66=""),"",ROUND((G66-B66)*1440,0))</f>
        <v/>
      </c>
      <c r="I66">
        <f>IF(H66="","",IF(H66&lt;=Dashboard!$B$6,"Sim","Não"))</f>
        <v/>
      </c>
      <c r="J66" s="25" t="n"/>
      <c r="K66" s="25" t="n"/>
      <c r="L66" s="26" t="n"/>
      <c r="M66" s="25" t="n"/>
    </row>
    <row r="67">
      <c r="A67" s="23" t="n"/>
      <c r="B67" s="24" t="n"/>
      <c r="C67" s="25" t="n"/>
      <c r="D67" s="25" t="n"/>
      <c r="E67" s="25" t="n"/>
      <c r="F67" s="25" t="n"/>
      <c r="G67" s="24" t="n"/>
      <c r="H67">
        <f>IF(OR(B67="",G67=""),"",ROUND((G67-B67)*1440,0))</f>
        <v/>
      </c>
      <c r="I67">
        <f>IF(H67="","",IF(H67&lt;=Dashboard!$B$6,"Sim","Não"))</f>
        <v/>
      </c>
      <c r="J67" s="25" t="n"/>
      <c r="K67" s="25" t="n"/>
      <c r="L67" s="26" t="n"/>
      <c r="M67" s="25" t="n"/>
    </row>
    <row r="68">
      <c r="A68" s="23" t="n"/>
      <c r="B68" s="24" t="n"/>
      <c r="C68" s="25" t="n"/>
      <c r="D68" s="25" t="n"/>
      <c r="E68" s="25" t="n"/>
      <c r="F68" s="25" t="n"/>
      <c r="G68" s="24" t="n"/>
      <c r="H68">
        <f>IF(OR(B68="",G68=""),"",ROUND((G68-B68)*1440,0))</f>
        <v/>
      </c>
      <c r="I68">
        <f>IF(H68="","",IF(H68&lt;=Dashboard!$B$6,"Sim","Não"))</f>
        <v/>
      </c>
      <c r="J68" s="25" t="n"/>
      <c r="K68" s="25" t="n"/>
      <c r="L68" s="26" t="n"/>
      <c r="M68" s="25" t="n"/>
    </row>
    <row r="69">
      <c r="A69" s="23" t="n"/>
      <c r="B69" s="24" t="n"/>
      <c r="C69" s="25" t="n"/>
      <c r="D69" s="25" t="n"/>
      <c r="E69" s="25" t="n"/>
      <c r="F69" s="25" t="n"/>
      <c r="G69" s="24" t="n"/>
      <c r="H69">
        <f>IF(OR(B69="",G69=""),"",ROUND((G69-B69)*1440,0))</f>
        <v/>
      </c>
      <c r="I69">
        <f>IF(H69="","",IF(H69&lt;=Dashboard!$B$6,"Sim","Não"))</f>
        <v/>
      </c>
      <c r="J69" s="25" t="n"/>
      <c r="K69" s="25" t="n"/>
      <c r="L69" s="26" t="n"/>
      <c r="M69" s="25" t="n"/>
    </row>
    <row r="70">
      <c r="A70" s="23" t="n"/>
      <c r="B70" s="24" t="n"/>
      <c r="C70" s="25" t="n"/>
      <c r="D70" s="25" t="n"/>
      <c r="E70" s="25" t="n"/>
      <c r="F70" s="25" t="n"/>
      <c r="G70" s="24" t="n"/>
      <c r="H70">
        <f>IF(OR(B70="",G70=""),"",ROUND((G70-B70)*1440,0))</f>
        <v/>
      </c>
      <c r="I70">
        <f>IF(H70="","",IF(H70&lt;=Dashboard!$B$6,"Sim","Não"))</f>
        <v/>
      </c>
      <c r="J70" s="25" t="n"/>
      <c r="K70" s="25" t="n"/>
      <c r="L70" s="26" t="n"/>
      <c r="M70" s="25" t="n"/>
    </row>
    <row r="71">
      <c r="A71" s="23" t="n"/>
      <c r="B71" s="24" t="n"/>
      <c r="C71" s="25" t="n"/>
      <c r="D71" s="25" t="n"/>
      <c r="E71" s="25" t="n"/>
      <c r="F71" s="25" t="n"/>
      <c r="G71" s="24" t="n"/>
      <c r="H71">
        <f>IF(OR(B71="",G71=""),"",ROUND((G71-B71)*1440,0))</f>
        <v/>
      </c>
      <c r="I71">
        <f>IF(H71="","",IF(H71&lt;=Dashboard!$B$6,"Sim","Não"))</f>
        <v/>
      </c>
      <c r="J71" s="25" t="n"/>
      <c r="K71" s="25" t="n"/>
      <c r="L71" s="26" t="n"/>
      <c r="M71" s="25" t="n"/>
    </row>
    <row r="72">
      <c r="A72" s="23" t="n"/>
      <c r="B72" s="24" t="n"/>
      <c r="C72" s="25" t="n"/>
      <c r="D72" s="25" t="n"/>
      <c r="E72" s="25" t="n"/>
      <c r="F72" s="25" t="n"/>
      <c r="G72" s="24" t="n"/>
      <c r="H72">
        <f>IF(OR(B72="",G72=""),"",ROUND((G72-B72)*1440,0))</f>
        <v/>
      </c>
      <c r="I72">
        <f>IF(H72="","",IF(H72&lt;=Dashboard!$B$6,"Sim","Não"))</f>
        <v/>
      </c>
      <c r="J72" s="25" t="n"/>
      <c r="K72" s="25" t="n"/>
      <c r="L72" s="26" t="n"/>
      <c r="M72" s="25" t="n"/>
    </row>
    <row r="73">
      <c r="A73" s="23" t="n"/>
      <c r="B73" s="24" t="n"/>
      <c r="C73" s="25" t="n"/>
      <c r="D73" s="25" t="n"/>
      <c r="E73" s="25" t="n"/>
      <c r="F73" s="25" t="n"/>
      <c r="G73" s="24" t="n"/>
      <c r="H73">
        <f>IF(OR(B73="",G73=""),"",ROUND((G73-B73)*1440,0))</f>
        <v/>
      </c>
      <c r="I73">
        <f>IF(H73="","",IF(H73&lt;=Dashboard!$B$6,"Sim","Não"))</f>
        <v/>
      </c>
      <c r="J73" s="25" t="n"/>
      <c r="K73" s="25" t="n"/>
      <c r="L73" s="26" t="n"/>
      <c r="M73" s="25" t="n"/>
    </row>
    <row r="74">
      <c r="A74" s="23" t="n"/>
      <c r="B74" s="24" t="n"/>
      <c r="C74" s="25" t="n"/>
      <c r="D74" s="25" t="n"/>
      <c r="E74" s="25" t="n"/>
      <c r="F74" s="25" t="n"/>
      <c r="G74" s="24" t="n"/>
      <c r="H74">
        <f>IF(OR(B74="",G74=""),"",ROUND((G74-B74)*1440,0))</f>
        <v/>
      </c>
      <c r="I74">
        <f>IF(H74="","",IF(H74&lt;=Dashboard!$B$6,"Sim","Não"))</f>
        <v/>
      </c>
      <c r="J74" s="25" t="n"/>
      <c r="K74" s="25" t="n"/>
      <c r="L74" s="26" t="n"/>
      <c r="M74" s="25" t="n"/>
    </row>
    <row r="75">
      <c r="A75" s="23" t="n"/>
      <c r="B75" s="24" t="n"/>
      <c r="C75" s="25" t="n"/>
      <c r="D75" s="25" t="n"/>
      <c r="E75" s="25" t="n"/>
      <c r="F75" s="25" t="n"/>
      <c r="G75" s="24" t="n"/>
      <c r="H75">
        <f>IF(OR(B75="",G75=""),"",ROUND((G75-B75)*1440,0))</f>
        <v/>
      </c>
      <c r="I75">
        <f>IF(H75="","",IF(H75&lt;=Dashboard!$B$6,"Sim","Não"))</f>
        <v/>
      </c>
      <c r="J75" s="25" t="n"/>
      <c r="K75" s="25" t="n"/>
      <c r="L75" s="26" t="n"/>
      <c r="M75" s="25" t="n"/>
    </row>
    <row r="76">
      <c r="A76" s="23" t="n"/>
      <c r="B76" s="24" t="n"/>
      <c r="C76" s="25" t="n"/>
      <c r="D76" s="25" t="n"/>
      <c r="E76" s="25" t="n"/>
      <c r="F76" s="25" t="n"/>
      <c r="G76" s="24" t="n"/>
      <c r="H76">
        <f>IF(OR(B76="",G76=""),"",ROUND((G76-B76)*1440,0))</f>
        <v/>
      </c>
      <c r="I76">
        <f>IF(H76="","",IF(H76&lt;=Dashboard!$B$6,"Sim","Não"))</f>
        <v/>
      </c>
      <c r="J76" s="25" t="n"/>
      <c r="K76" s="25" t="n"/>
      <c r="L76" s="26" t="n"/>
      <c r="M76" s="25" t="n"/>
    </row>
    <row r="77">
      <c r="A77" s="23" t="n"/>
      <c r="B77" s="24" t="n"/>
      <c r="C77" s="25" t="n"/>
      <c r="D77" s="25" t="n"/>
      <c r="E77" s="25" t="n"/>
      <c r="F77" s="25" t="n"/>
      <c r="G77" s="24" t="n"/>
      <c r="H77">
        <f>IF(OR(B77="",G77=""),"",ROUND((G77-B77)*1440,0))</f>
        <v/>
      </c>
      <c r="I77">
        <f>IF(H77="","",IF(H77&lt;=Dashboard!$B$6,"Sim","Não"))</f>
        <v/>
      </c>
      <c r="J77" s="25" t="n"/>
      <c r="K77" s="25" t="n"/>
      <c r="L77" s="26" t="n"/>
      <c r="M77" s="25" t="n"/>
    </row>
    <row r="78">
      <c r="A78" s="23" t="n"/>
      <c r="B78" s="24" t="n"/>
      <c r="C78" s="25" t="n"/>
      <c r="D78" s="25" t="n"/>
      <c r="E78" s="25" t="n"/>
      <c r="F78" s="25" t="n"/>
      <c r="G78" s="24" t="n"/>
      <c r="H78">
        <f>IF(OR(B78="",G78=""),"",ROUND((G78-B78)*1440,0))</f>
        <v/>
      </c>
      <c r="I78">
        <f>IF(H78="","",IF(H78&lt;=Dashboard!$B$6,"Sim","Não"))</f>
        <v/>
      </c>
      <c r="J78" s="25" t="n"/>
      <c r="K78" s="25" t="n"/>
      <c r="L78" s="26" t="n"/>
      <c r="M78" s="25" t="n"/>
    </row>
    <row r="79">
      <c r="A79" s="23" t="n"/>
      <c r="B79" s="24" t="n"/>
      <c r="C79" s="25" t="n"/>
      <c r="D79" s="25" t="n"/>
      <c r="E79" s="25" t="n"/>
      <c r="F79" s="25" t="n"/>
      <c r="G79" s="24" t="n"/>
      <c r="H79">
        <f>IF(OR(B79="",G79=""),"",ROUND((G79-B79)*1440,0))</f>
        <v/>
      </c>
      <c r="I79">
        <f>IF(H79="","",IF(H79&lt;=Dashboard!$B$6,"Sim","Não"))</f>
        <v/>
      </c>
      <c r="J79" s="25" t="n"/>
      <c r="K79" s="25" t="n"/>
      <c r="L79" s="26" t="n"/>
      <c r="M79" s="25" t="n"/>
    </row>
    <row r="80">
      <c r="A80" s="23" t="n"/>
      <c r="B80" s="24" t="n"/>
      <c r="C80" s="25" t="n"/>
      <c r="D80" s="25" t="n"/>
      <c r="E80" s="25" t="n"/>
      <c r="F80" s="25" t="n"/>
      <c r="G80" s="24" t="n"/>
      <c r="H80">
        <f>IF(OR(B80="",G80=""),"",ROUND((G80-B80)*1440,0))</f>
        <v/>
      </c>
      <c r="I80">
        <f>IF(H80="","",IF(H80&lt;=Dashboard!$B$6,"Sim","Não"))</f>
        <v/>
      </c>
      <c r="J80" s="25" t="n"/>
      <c r="K80" s="25" t="n"/>
      <c r="L80" s="26" t="n"/>
      <c r="M80" s="25" t="n"/>
    </row>
    <row r="81">
      <c r="A81" s="23" t="n"/>
      <c r="B81" s="24" t="n"/>
      <c r="C81" s="25" t="n"/>
      <c r="D81" s="25" t="n"/>
      <c r="E81" s="25" t="n"/>
      <c r="F81" s="25" t="n"/>
      <c r="G81" s="24" t="n"/>
      <c r="H81">
        <f>IF(OR(B81="",G81=""),"",ROUND((G81-B81)*1440,0))</f>
        <v/>
      </c>
      <c r="I81">
        <f>IF(H81="","",IF(H81&lt;=Dashboard!$B$6,"Sim","Não"))</f>
        <v/>
      </c>
      <c r="J81" s="25" t="n"/>
      <c r="K81" s="25" t="n"/>
      <c r="L81" s="26" t="n"/>
      <c r="M81" s="25" t="n"/>
    </row>
    <row r="82">
      <c r="A82" s="23" t="n"/>
      <c r="B82" s="24" t="n"/>
      <c r="C82" s="25" t="n"/>
      <c r="D82" s="25" t="n"/>
      <c r="E82" s="25" t="n"/>
      <c r="F82" s="25" t="n"/>
      <c r="G82" s="24" t="n"/>
      <c r="H82">
        <f>IF(OR(B82="",G82=""),"",ROUND((G82-B82)*1440,0))</f>
        <v/>
      </c>
      <c r="I82">
        <f>IF(H82="","",IF(H82&lt;=Dashboard!$B$6,"Sim","Não"))</f>
        <v/>
      </c>
      <c r="J82" s="25" t="n"/>
      <c r="K82" s="25" t="n"/>
      <c r="L82" s="26" t="n"/>
      <c r="M82" s="25" t="n"/>
    </row>
    <row r="83">
      <c r="A83" s="23" t="n"/>
      <c r="B83" s="24" t="n"/>
      <c r="C83" s="25" t="n"/>
      <c r="D83" s="25" t="n"/>
      <c r="E83" s="25" t="n"/>
      <c r="F83" s="25" t="n"/>
      <c r="G83" s="24" t="n"/>
      <c r="H83">
        <f>IF(OR(B83="",G83=""),"",ROUND((G83-B83)*1440,0))</f>
        <v/>
      </c>
      <c r="I83">
        <f>IF(H83="","",IF(H83&lt;=Dashboard!$B$6,"Sim","Não"))</f>
        <v/>
      </c>
      <c r="J83" s="25" t="n"/>
      <c r="K83" s="25" t="n"/>
      <c r="L83" s="26" t="n"/>
      <c r="M83" s="25" t="n"/>
    </row>
    <row r="84">
      <c r="A84" s="23" t="n"/>
      <c r="B84" s="24" t="n"/>
      <c r="C84" s="25" t="n"/>
      <c r="D84" s="25" t="n"/>
      <c r="E84" s="25" t="n"/>
      <c r="F84" s="25" t="n"/>
      <c r="G84" s="24" t="n"/>
      <c r="H84">
        <f>IF(OR(B84="",G84=""),"",ROUND((G84-B84)*1440,0))</f>
        <v/>
      </c>
      <c r="I84">
        <f>IF(H84="","",IF(H84&lt;=Dashboard!$B$6,"Sim","Não"))</f>
        <v/>
      </c>
      <c r="J84" s="25" t="n"/>
      <c r="K84" s="25" t="n"/>
      <c r="L84" s="26" t="n"/>
      <c r="M84" s="25" t="n"/>
    </row>
    <row r="85">
      <c r="A85" s="23" t="n"/>
      <c r="B85" s="24" t="n"/>
      <c r="C85" s="25" t="n"/>
      <c r="D85" s="25" t="n"/>
      <c r="E85" s="25" t="n"/>
      <c r="F85" s="25" t="n"/>
      <c r="G85" s="24" t="n"/>
      <c r="H85">
        <f>IF(OR(B85="",G85=""),"",ROUND((G85-B85)*1440,0))</f>
        <v/>
      </c>
      <c r="I85">
        <f>IF(H85="","",IF(H85&lt;=Dashboard!$B$6,"Sim","Não"))</f>
        <v/>
      </c>
      <c r="J85" s="25" t="n"/>
      <c r="K85" s="25" t="n"/>
      <c r="L85" s="26" t="n"/>
      <c r="M85" s="25" t="n"/>
    </row>
    <row r="86">
      <c r="A86" s="23" t="n"/>
      <c r="B86" s="24" t="n"/>
      <c r="C86" s="25" t="n"/>
      <c r="D86" s="25" t="n"/>
      <c r="E86" s="25" t="n"/>
      <c r="F86" s="25" t="n"/>
      <c r="G86" s="24" t="n"/>
      <c r="H86">
        <f>IF(OR(B86="",G86=""),"",ROUND((G86-B86)*1440,0))</f>
        <v/>
      </c>
      <c r="I86">
        <f>IF(H86="","",IF(H86&lt;=Dashboard!$B$6,"Sim","Não"))</f>
        <v/>
      </c>
      <c r="J86" s="25" t="n"/>
      <c r="K86" s="25" t="n"/>
      <c r="L86" s="26" t="n"/>
      <c r="M86" s="25" t="n"/>
    </row>
    <row r="87">
      <c r="A87" s="23" t="n"/>
      <c r="B87" s="24" t="n"/>
      <c r="C87" s="25" t="n"/>
      <c r="D87" s="25" t="n"/>
      <c r="E87" s="25" t="n"/>
      <c r="F87" s="25" t="n"/>
      <c r="G87" s="24" t="n"/>
      <c r="H87">
        <f>IF(OR(B87="",G87=""),"",ROUND((G87-B87)*1440,0))</f>
        <v/>
      </c>
      <c r="I87">
        <f>IF(H87="","",IF(H87&lt;=Dashboard!$B$6,"Sim","Não"))</f>
        <v/>
      </c>
      <c r="J87" s="25" t="n"/>
      <c r="K87" s="25" t="n"/>
      <c r="L87" s="26" t="n"/>
      <c r="M87" s="25" t="n"/>
    </row>
    <row r="88">
      <c r="A88" s="23" t="n"/>
      <c r="B88" s="24" t="n"/>
      <c r="C88" s="25" t="n"/>
      <c r="D88" s="25" t="n"/>
      <c r="E88" s="25" t="n"/>
      <c r="F88" s="25" t="n"/>
      <c r="G88" s="24" t="n"/>
      <c r="H88">
        <f>IF(OR(B88="",G88=""),"",ROUND((G88-B88)*1440,0))</f>
        <v/>
      </c>
      <c r="I88">
        <f>IF(H88="","",IF(H88&lt;=Dashboard!$B$6,"Sim","Não"))</f>
        <v/>
      </c>
      <c r="J88" s="25" t="n"/>
      <c r="K88" s="25" t="n"/>
      <c r="L88" s="26" t="n"/>
      <c r="M88" s="25" t="n"/>
    </row>
    <row r="89">
      <c r="A89" s="23" t="n"/>
      <c r="B89" s="24" t="n"/>
      <c r="C89" s="25" t="n"/>
      <c r="D89" s="25" t="n"/>
      <c r="E89" s="25" t="n"/>
      <c r="F89" s="25" t="n"/>
      <c r="G89" s="24" t="n"/>
      <c r="H89">
        <f>IF(OR(B89="",G89=""),"",ROUND((G89-B89)*1440,0))</f>
        <v/>
      </c>
      <c r="I89">
        <f>IF(H89="","",IF(H89&lt;=Dashboard!$B$6,"Sim","Não"))</f>
        <v/>
      </c>
      <c r="J89" s="25" t="n"/>
      <c r="K89" s="25" t="n"/>
      <c r="L89" s="26" t="n"/>
      <c r="M89" s="25" t="n"/>
    </row>
    <row r="90">
      <c r="A90" s="23" t="n"/>
      <c r="B90" s="24" t="n"/>
      <c r="C90" s="25" t="n"/>
      <c r="D90" s="25" t="n"/>
      <c r="E90" s="25" t="n"/>
      <c r="F90" s="25" t="n"/>
      <c r="G90" s="24" t="n"/>
      <c r="H90">
        <f>IF(OR(B90="",G90=""),"",ROUND((G90-B90)*1440,0))</f>
        <v/>
      </c>
      <c r="I90">
        <f>IF(H90="","",IF(H90&lt;=Dashboard!$B$6,"Sim","Não"))</f>
        <v/>
      </c>
      <c r="J90" s="25" t="n"/>
      <c r="K90" s="25" t="n"/>
      <c r="L90" s="26" t="n"/>
      <c r="M90" s="25" t="n"/>
    </row>
    <row r="91">
      <c r="A91" s="23" t="n"/>
      <c r="B91" s="24" t="n"/>
      <c r="C91" s="25" t="n"/>
      <c r="D91" s="25" t="n"/>
      <c r="E91" s="25" t="n"/>
      <c r="F91" s="25" t="n"/>
      <c r="G91" s="24" t="n"/>
      <c r="H91">
        <f>IF(OR(B91="",G91=""),"",ROUND((G91-B91)*1440,0))</f>
        <v/>
      </c>
      <c r="I91">
        <f>IF(H91="","",IF(H91&lt;=Dashboard!$B$6,"Sim","Não"))</f>
        <v/>
      </c>
      <c r="J91" s="25" t="n"/>
      <c r="K91" s="25" t="n"/>
      <c r="L91" s="26" t="n"/>
      <c r="M91" s="25" t="n"/>
    </row>
    <row r="92">
      <c r="A92" s="23" t="n"/>
      <c r="B92" s="24" t="n"/>
      <c r="C92" s="25" t="n"/>
      <c r="D92" s="25" t="n"/>
      <c r="E92" s="25" t="n"/>
      <c r="F92" s="25" t="n"/>
      <c r="G92" s="24" t="n"/>
      <c r="H92">
        <f>IF(OR(B92="",G92=""),"",ROUND((G92-B92)*1440,0))</f>
        <v/>
      </c>
      <c r="I92">
        <f>IF(H92="","",IF(H92&lt;=Dashboard!$B$6,"Sim","Não"))</f>
        <v/>
      </c>
      <c r="J92" s="25" t="n"/>
      <c r="K92" s="25" t="n"/>
      <c r="L92" s="26" t="n"/>
      <c r="M92" s="25" t="n"/>
    </row>
    <row r="93">
      <c r="A93" s="23" t="n"/>
      <c r="B93" s="24" t="n"/>
      <c r="C93" s="25" t="n"/>
      <c r="D93" s="25" t="n"/>
      <c r="E93" s="25" t="n"/>
      <c r="F93" s="25" t="n"/>
      <c r="G93" s="24" t="n"/>
      <c r="H93">
        <f>IF(OR(B93="",G93=""),"",ROUND((G93-B93)*1440,0))</f>
        <v/>
      </c>
      <c r="I93">
        <f>IF(H93="","",IF(H93&lt;=Dashboard!$B$6,"Sim","Não"))</f>
        <v/>
      </c>
      <c r="J93" s="25" t="n"/>
      <c r="K93" s="25" t="n"/>
      <c r="L93" s="26" t="n"/>
      <c r="M93" s="25" t="n"/>
    </row>
    <row r="94">
      <c r="A94" s="23" t="n"/>
      <c r="B94" s="24" t="n"/>
      <c r="C94" s="25" t="n"/>
      <c r="D94" s="25" t="n"/>
      <c r="E94" s="25" t="n"/>
      <c r="F94" s="25" t="n"/>
      <c r="G94" s="24" t="n"/>
      <c r="H94">
        <f>IF(OR(B94="",G94=""),"",ROUND((G94-B94)*1440,0))</f>
        <v/>
      </c>
      <c r="I94">
        <f>IF(H94="","",IF(H94&lt;=Dashboard!$B$6,"Sim","Não"))</f>
        <v/>
      </c>
      <c r="J94" s="25" t="n"/>
      <c r="K94" s="25" t="n"/>
      <c r="L94" s="26" t="n"/>
      <c r="M94" s="25" t="n"/>
    </row>
    <row r="95">
      <c r="A95" s="23" t="n"/>
      <c r="B95" s="24" t="n"/>
      <c r="C95" s="25" t="n"/>
      <c r="D95" s="25" t="n"/>
      <c r="E95" s="25" t="n"/>
      <c r="F95" s="25" t="n"/>
      <c r="G95" s="24" t="n"/>
      <c r="H95">
        <f>IF(OR(B95="",G95=""),"",ROUND((G95-B95)*1440,0))</f>
        <v/>
      </c>
      <c r="I95">
        <f>IF(H95="","",IF(H95&lt;=Dashboard!$B$6,"Sim","Não"))</f>
        <v/>
      </c>
      <c r="J95" s="25" t="n"/>
      <c r="K95" s="25" t="n"/>
      <c r="L95" s="26" t="n"/>
      <c r="M95" s="25" t="n"/>
    </row>
    <row r="96">
      <c r="A96" s="23" t="n"/>
      <c r="B96" s="24" t="n"/>
      <c r="C96" s="25" t="n"/>
      <c r="D96" s="25" t="n"/>
      <c r="E96" s="25" t="n"/>
      <c r="F96" s="25" t="n"/>
      <c r="G96" s="24" t="n"/>
      <c r="H96">
        <f>IF(OR(B96="",G96=""),"",ROUND((G96-B96)*1440,0))</f>
        <v/>
      </c>
      <c r="I96">
        <f>IF(H96="","",IF(H96&lt;=Dashboard!$B$6,"Sim","Não"))</f>
        <v/>
      </c>
      <c r="J96" s="25" t="n"/>
      <c r="K96" s="25" t="n"/>
      <c r="L96" s="26" t="n"/>
      <c r="M96" s="25" t="n"/>
    </row>
    <row r="97">
      <c r="A97" s="23" t="n"/>
      <c r="B97" s="24" t="n"/>
      <c r="C97" s="25" t="n"/>
      <c r="D97" s="25" t="n"/>
      <c r="E97" s="25" t="n"/>
      <c r="F97" s="25" t="n"/>
      <c r="G97" s="24" t="n"/>
      <c r="H97">
        <f>IF(OR(B97="",G97=""),"",ROUND((G97-B97)*1440,0))</f>
        <v/>
      </c>
      <c r="I97">
        <f>IF(H97="","",IF(H97&lt;=Dashboard!$B$6,"Sim","Não"))</f>
        <v/>
      </c>
      <c r="J97" s="25" t="n"/>
      <c r="K97" s="25" t="n"/>
      <c r="L97" s="26" t="n"/>
      <c r="M97" s="25" t="n"/>
    </row>
    <row r="98">
      <c r="A98" s="23" t="n"/>
      <c r="B98" s="24" t="n"/>
      <c r="C98" s="25" t="n"/>
      <c r="D98" s="25" t="n"/>
      <c r="E98" s="25" t="n"/>
      <c r="F98" s="25" t="n"/>
      <c r="G98" s="24" t="n"/>
      <c r="H98">
        <f>IF(OR(B98="",G98=""),"",ROUND((G98-B98)*1440,0))</f>
        <v/>
      </c>
      <c r="I98">
        <f>IF(H98="","",IF(H98&lt;=Dashboard!$B$6,"Sim","Não"))</f>
        <v/>
      </c>
      <c r="J98" s="25" t="n"/>
      <c r="K98" s="25" t="n"/>
      <c r="L98" s="26" t="n"/>
      <c r="M98" s="25" t="n"/>
    </row>
    <row r="99">
      <c r="A99" s="23" t="n"/>
      <c r="B99" s="24" t="n"/>
      <c r="C99" s="25" t="n"/>
      <c r="D99" s="25" t="n"/>
      <c r="E99" s="25" t="n"/>
      <c r="F99" s="25" t="n"/>
      <c r="G99" s="24" t="n"/>
      <c r="H99">
        <f>IF(OR(B99="",G99=""),"",ROUND((G99-B99)*1440,0))</f>
        <v/>
      </c>
      <c r="I99">
        <f>IF(H99="","",IF(H99&lt;=Dashboard!$B$6,"Sim","Não"))</f>
        <v/>
      </c>
      <c r="J99" s="25" t="n"/>
      <c r="K99" s="25" t="n"/>
      <c r="L99" s="26" t="n"/>
      <c r="M99" s="25" t="n"/>
    </row>
    <row r="100">
      <c r="A100" s="23" t="n"/>
      <c r="B100" s="24" t="n"/>
      <c r="C100" s="25" t="n"/>
      <c r="D100" s="25" t="n"/>
      <c r="E100" s="25" t="n"/>
      <c r="F100" s="25" t="n"/>
      <c r="G100" s="24" t="n"/>
      <c r="H100">
        <f>IF(OR(B100="",G100=""),"",ROUND((G100-B100)*1440,0))</f>
        <v/>
      </c>
      <c r="I100">
        <f>IF(H100="","",IF(H100&lt;=Dashboard!$B$6,"Sim","Não"))</f>
        <v/>
      </c>
      <c r="J100" s="25" t="n"/>
      <c r="K100" s="25" t="n"/>
      <c r="L100" s="26" t="n"/>
      <c r="M100" s="25" t="n"/>
    </row>
    <row r="101">
      <c r="A101" s="23" t="n"/>
      <c r="B101" s="24" t="n"/>
      <c r="C101" s="25" t="n"/>
      <c r="D101" s="25" t="n"/>
      <c r="E101" s="25" t="n"/>
      <c r="F101" s="25" t="n"/>
      <c r="G101" s="24" t="n"/>
      <c r="H101">
        <f>IF(OR(B101="",G101=""),"",ROUND((G101-B101)*1440,0))</f>
        <v/>
      </c>
      <c r="I101">
        <f>IF(H101="","",IF(H101&lt;=Dashboard!$B$6,"Sim","Não"))</f>
        <v/>
      </c>
      <c r="J101" s="25" t="n"/>
      <c r="K101" s="25" t="n"/>
      <c r="L101" s="26" t="n"/>
      <c r="M101" s="25" t="n"/>
    </row>
    <row r="102">
      <c r="A102" s="23" t="n"/>
      <c r="B102" s="24" t="n"/>
      <c r="C102" s="25" t="n"/>
      <c r="D102" s="25" t="n"/>
      <c r="E102" s="25" t="n"/>
      <c r="F102" s="25" t="n"/>
      <c r="G102" s="24" t="n"/>
      <c r="H102">
        <f>IF(OR(B102="",G102=""),"",ROUND((G102-B102)*1440,0))</f>
        <v/>
      </c>
      <c r="I102">
        <f>IF(H102="","",IF(H102&lt;=Dashboard!$B$6,"Sim","Não"))</f>
        <v/>
      </c>
      <c r="J102" s="25" t="n"/>
      <c r="K102" s="25" t="n"/>
      <c r="L102" s="26" t="n"/>
      <c r="M102" s="25" t="n"/>
    </row>
    <row r="103">
      <c r="A103" s="23" t="n"/>
      <c r="B103" s="24" t="n"/>
      <c r="C103" s="25" t="n"/>
      <c r="D103" s="25" t="n"/>
      <c r="E103" s="25" t="n"/>
      <c r="F103" s="25" t="n"/>
      <c r="G103" s="24" t="n"/>
      <c r="H103">
        <f>IF(OR(B103="",G103=""),"",ROUND((G103-B103)*1440,0))</f>
        <v/>
      </c>
      <c r="I103">
        <f>IF(H103="","",IF(H103&lt;=Dashboard!$B$6,"Sim","Não"))</f>
        <v/>
      </c>
      <c r="J103" s="25" t="n"/>
      <c r="K103" s="25" t="n"/>
      <c r="L103" s="26" t="n"/>
      <c r="M103" s="25" t="n"/>
    </row>
    <row r="104">
      <c r="A104" s="23" t="n"/>
      <c r="B104" s="24" t="n"/>
      <c r="C104" s="25" t="n"/>
      <c r="D104" s="25" t="n"/>
      <c r="E104" s="25" t="n"/>
      <c r="F104" s="25" t="n"/>
      <c r="G104" s="24" t="n"/>
      <c r="H104">
        <f>IF(OR(B104="",G104=""),"",ROUND((G104-B104)*1440,0))</f>
        <v/>
      </c>
      <c r="I104">
        <f>IF(H104="","",IF(H104&lt;=Dashboard!$B$6,"Sim","Não"))</f>
        <v/>
      </c>
      <c r="J104" s="25" t="n"/>
      <c r="K104" s="25" t="n"/>
      <c r="L104" s="26" t="n"/>
      <c r="M104" s="25" t="n"/>
    </row>
    <row r="105">
      <c r="A105" s="23" t="n"/>
      <c r="B105" s="24" t="n"/>
      <c r="C105" s="25" t="n"/>
      <c r="D105" s="25" t="n"/>
      <c r="E105" s="25" t="n"/>
      <c r="F105" s="25" t="n"/>
      <c r="G105" s="24" t="n"/>
      <c r="H105">
        <f>IF(OR(B105="",G105=""),"",ROUND((G105-B105)*1440,0))</f>
        <v/>
      </c>
      <c r="I105">
        <f>IF(H105="","",IF(H105&lt;=Dashboard!$B$6,"Sim","Não"))</f>
        <v/>
      </c>
      <c r="J105" s="25" t="n"/>
      <c r="K105" s="25" t="n"/>
      <c r="L105" s="26" t="n"/>
      <c r="M105" s="25" t="n"/>
    </row>
    <row r="106">
      <c r="A106" s="23" t="n"/>
      <c r="B106" s="24" t="n"/>
      <c r="C106" s="25" t="n"/>
      <c r="D106" s="25" t="n"/>
      <c r="E106" s="25" t="n"/>
      <c r="F106" s="25" t="n"/>
      <c r="G106" s="24" t="n"/>
      <c r="H106">
        <f>IF(OR(B106="",G106=""),"",ROUND((G106-B106)*1440,0))</f>
        <v/>
      </c>
      <c r="I106">
        <f>IF(H106="","",IF(H106&lt;=Dashboard!$B$6,"Sim","Não"))</f>
        <v/>
      </c>
      <c r="J106" s="25" t="n"/>
      <c r="K106" s="25" t="n"/>
      <c r="L106" s="26" t="n"/>
      <c r="M106" s="25" t="n"/>
    </row>
    <row r="107">
      <c r="A107" s="23" t="n"/>
      <c r="B107" s="24" t="n"/>
      <c r="C107" s="25" t="n"/>
      <c r="D107" s="25" t="n"/>
      <c r="E107" s="25" t="n"/>
      <c r="F107" s="25" t="n"/>
      <c r="G107" s="24" t="n"/>
      <c r="H107">
        <f>IF(OR(B107="",G107=""),"",ROUND((G107-B107)*1440,0))</f>
        <v/>
      </c>
      <c r="I107">
        <f>IF(H107="","",IF(H107&lt;=Dashboard!$B$6,"Sim","Não"))</f>
        <v/>
      </c>
      <c r="J107" s="25" t="n"/>
      <c r="K107" s="25" t="n"/>
      <c r="L107" s="26" t="n"/>
      <c r="M107" s="25" t="n"/>
    </row>
    <row r="108">
      <c r="A108" s="23" t="n"/>
      <c r="B108" s="24" t="n"/>
      <c r="C108" s="25" t="n"/>
      <c r="D108" s="25" t="n"/>
      <c r="E108" s="25" t="n"/>
      <c r="F108" s="25" t="n"/>
      <c r="G108" s="24" t="n"/>
      <c r="H108">
        <f>IF(OR(B108="",G108=""),"",ROUND((G108-B108)*1440,0))</f>
        <v/>
      </c>
      <c r="I108">
        <f>IF(H108="","",IF(H108&lt;=Dashboard!$B$6,"Sim","Não"))</f>
        <v/>
      </c>
      <c r="J108" s="25" t="n"/>
      <c r="K108" s="25" t="n"/>
      <c r="L108" s="26" t="n"/>
      <c r="M108" s="25" t="n"/>
    </row>
    <row r="109">
      <c r="A109" s="23" t="n"/>
      <c r="B109" s="24" t="n"/>
      <c r="C109" s="25" t="n"/>
      <c r="D109" s="25" t="n"/>
      <c r="E109" s="25" t="n"/>
      <c r="F109" s="25" t="n"/>
      <c r="G109" s="24" t="n"/>
      <c r="H109">
        <f>IF(OR(B109="",G109=""),"",ROUND((G109-B109)*1440,0))</f>
        <v/>
      </c>
      <c r="I109">
        <f>IF(H109="","",IF(H109&lt;=Dashboard!$B$6,"Sim","Não"))</f>
        <v/>
      </c>
      <c r="J109" s="25" t="n"/>
      <c r="K109" s="25" t="n"/>
      <c r="L109" s="26" t="n"/>
      <c r="M109" s="25" t="n"/>
    </row>
    <row r="110">
      <c r="A110" s="23" t="n"/>
      <c r="B110" s="24" t="n"/>
      <c r="C110" s="25" t="n"/>
      <c r="D110" s="25" t="n"/>
      <c r="E110" s="25" t="n"/>
      <c r="F110" s="25" t="n"/>
      <c r="G110" s="24" t="n"/>
      <c r="H110">
        <f>IF(OR(B110="",G110=""),"",ROUND((G110-B110)*1440,0))</f>
        <v/>
      </c>
      <c r="I110">
        <f>IF(H110="","",IF(H110&lt;=Dashboard!$B$6,"Sim","Não"))</f>
        <v/>
      </c>
      <c r="J110" s="25" t="n"/>
      <c r="K110" s="25" t="n"/>
      <c r="L110" s="26" t="n"/>
      <c r="M110" s="25" t="n"/>
    </row>
    <row r="111">
      <c r="A111" s="23" t="n"/>
      <c r="B111" s="24" t="n"/>
      <c r="C111" s="25" t="n"/>
      <c r="D111" s="25" t="n"/>
      <c r="E111" s="25" t="n"/>
      <c r="F111" s="25" t="n"/>
      <c r="G111" s="24" t="n"/>
      <c r="H111">
        <f>IF(OR(B111="",G111=""),"",ROUND((G111-B111)*1440,0))</f>
        <v/>
      </c>
      <c r="I111">
        <f>IF(H111="","",IF(H111&lt;=Dashboard!$B$6,"Sim","Não"))</f>
        <v/>
      </c>
      <c r="J111" s="25" t="n"/>
      <c r="K111" s="25" t="n"/>
      <c r="L111" s="26" t="n"/>
      <c r="M111" s="25" t="n"/>
    </row>
    <row r="112">
      <c r="A112" s="23" t="n"/>
      <c r="B112" s="24" t="n"/>
      <c r="C112" s="25" t="n"/>
      <c r="D112" s="25" t="n"/>
      <c r="E112" s="25" t="n"/>
      <c r="F112" s="25" t="n"/>
      <c r="G112" s="24" t="n"/>
      <c r="H112">
        <f>IF(OR(B112="",G112=""),"",ROUND((G112-B112)*1440,0))</f>
        <v/>
      </c>
      <c r="I112">
        <f>IF(H112="","",IF(H112&lt;=Dashboard!$B$6,"Sim","Não"))</f>
        <v/>
      </c>
      <c r="J112" s="25" t="n"/>
      <c r="K112" s="25" t="n"/>
      <c r="L112" s="26" t="n"/>
      <c r="M112" s="25" t="n"/>
    </row>
    <row r="113">
      <c r="A113" s="23" t="n"/>
      <c r="B113" s="24" t="n"/>
      <c r="C113" s="25" t="n"/>
      <c r="D113" s="25" t="n"/>
      <c r="E113" s="25" t="n"/>
      <c r="F113" s="25" t="n"/>
      <c r="G113" s="24" t="n"/>
      <c r="H113">
        <f>IF(OR(B113="",G113=""),"",ROUND((G113-B113)*1440,0))</f>
        <v/>
      </c>
      <c r="I113">
        <f>IF(H113="","",IF(H113&lt;=Dashboard!$B$6,"Sim","Não"))</f>
        <v/>
      </c>
      <c r="J113" s="25" t="n"/>
      <c r="K113" s="25" t="n"/>
      <c r="L113" s="26" t="n"/>
      <c r="M113" s="25" t="n"/>
    </row>
    <row r="114">
      <c r="A114" s="23" t="n"/>
      <c r="B114" s="24" t="n"/>
      <c r="C114" s="25" t="n"/>
      <c r="D114" s="25" t="n"/>
      <c r="E114" s="25" t="n"/>
      <c r="F114" s="25" t="n"/>
      <c r="G114" s="24" t="n"/>
      <c r="H114">
        <f>IF(OR(B114="",G114=""),"",ROUND((G114-B114)*1440,0))</f>
        <v/>
      </c>
      <c r="I114">
        <f>IF(H114="","",IF(H114&lt;=Dashboard!$B$6,"Sim","Não"))</f>
        <v/>
      </c>
      <c r="J114" s="25" t="n"/>
      <c r="K114" s="25" t="n"/>
      <c r="L114" s="26" t="n"/>
      <c r="M114" s="25" t="n"/>
    </row>
    <row r="115">
      <c r="A115" s="23" t="n"/>
      <c r="B115" s="24" t="n"/>
      <c r="C115" s="25" t="n"/>
      <c r="D115" s="25" t="n"/>
      <c r="E115" s="25" t="n"/>
      <c r="F115" s="25" t="n"/>
      <c r="G115" s="24" t="n"/>
      <c r="H115">
        <f>IF(OR(B115="",G115=""),"",ROUND((G115-B115)*1440,0))</f>
        <v/>
      </c>
      <c r="I115">
        <f>IF(H115="","",IF(H115&lt;=Dashboard!$B$6,"Sim","Não"))</f>
        <v/>
      </c>
      <c r="J115" s="25" t="n"/>
      <c r="K115" s="25" t="n"/>
      <c r="L115" s="26" t="n"/>
      <c r="M115" s="25" t="n"/>
    </row>
    <row r="116">
      <c r="A116" s="23" t="n"/>
      <c r="B116" s="24" t="n"/>
      <c r="C116" s="25" t="n"/>
      <c r="D116" s="25" t="n"/>
      <c r="E116" s="25" t="n"/>
      <c r="F116" s="25" t="n"/>
      <c r="G116" s="24" t="n"/>
      <c r="H116">
        <f>IF(OR(B116="",G116=""),"",ROUND((G116-B116)*1440,0))</f>
        <v/>
      </c>
      <c r="I116">
        <f>IF(H116="","",IF(H116&lt;=Dashboard!$B$6,"Sim","Não"))</f>
        <v/>
      </c>
      <c r="J116" s="25" t="n"/>
      <c r="K116" s="25" t="n"/>
      <c r="L116" s="26" t="n"/>
      <c r="M116" s="25" t="n"/>
    </row>
    <row r="117">
      <c r="A117" s="23" t="n"/>
      <c r="B117" s="24" t="n"/>
      <c r="C117" s="25" t="n"/>
      <c r="D117" s="25" t="n"/>
      <c r="E117" s="25" t="n"/>
      <c r="F117" s="25" t="n"/>
      <c r="G117" s="24" t="n"/>
      <c r="H117">
        <f>IF(OR(B117="",G117=""),"",ROUND((G117-B117)*1440,0))</f>
        <v/>
      </c>
      <c r="I117">
        <f>IF(H117="","",IF(H117&lt;=Dashboard!$B$6,"Sim","Não"))</f>
        <v/>
      </c>
      <c r="J117" s="25" t="n"/>
      <c r="K117" s="25" t="n"/>
      <c r="L117" s="26" t="n"/>
      <c r="M117" s="25" t="n"/>
    </row>
    <row r="118">
      <c r="A118" s="23" t="n"/>
      <c r="B118" s="24" t="n"/>
      <c r="C118" s="25" t="n"/>
      <c r="D118" s="25" t="n"/>
      <c r="E118" s="25" t="n"/>
      <c r="F118" s="25" t="n"/>
      <c r="G118" s="24" t="n"/>
      <c r="H118">
        <f>IF(OR(B118="",G118=""),"",ROUND((G118-B118)*1440,0))</f>
        <v/>
      </c>
      <c r="I118">
        <f>IF(H118="","",IF(H118&lt;=Dashboard!$B$6,"Sim","Não"))</f>
        <v/>
      </c>
      <c r="J118" s="25" t="n"/>
      <c r="K118" s="25" t="n"/>
      <c r="L118" s="26" t="n"/>
      <c r="M118" s="25" t="n"/>
    </row>
    <row r="119">
      <c r="A119" s="23" t="n"/>
      <c r="B119" s="24" t="n"/>
      <c r="C119" s="25" t="n"/>
      <c r="D119" s="25" t="n"/>
      <c r="E119" s="25" t="n"/>
      <c r="F119" s="25" t="n"/>
      <c r="G119" s="24" t="n"/>
      <c r="H119">
        <f>IF(OR(B119="",G119=""),"",ROUND((G119-B119)*1440,0))</f>
        <v/>
      </c>
      <c r="I119">
        <f>IF(H119="","",IF(H119&lt;=Dashboard!$B$6,"Sim","Não"))</f>
        <v/>
      </c>
      <c r="J119" s="25" t="n"/>
      <c r="K119" s="25" t="n"/>
      <c r="L119" s="26" t="n"/>
      <c r="M119" s="25" t="n"/>
    </row>
    <row r="120">
      <c r="A120" s="23" t="n"/>
      <c r="B120" s="24" t="n"/>
      <c r="C120" s="25" t="n"/>
      <c r="D120" s="25" t="n"/>
      <c r="E120" s="25" t="n"/>
      <c r="F120" s="25" t="n"/>
      <c r="G120" s="24" t="n"/>
      <c r="H120">
        <f>IF(OR(B120="",G120=""),"",ROUND((G120-B120)*1440,0))</f>
        <v/>
      </c>
      <c r="I120">
        <f>IF(H120="","",IF(H120&lt;=Dashboard!$B$6,"Sim","Não"))</f>
        <v/>
      </c>
      <c r="J120" s="25" t="n"/>
      <c r="K120" s="25" t="n"/>
      <c r="L120" s="26" t="n"/>
      <c r="M120" s="25" t="n"/>
    </row>
    <row r="121">
      <c r="A121" s="23" t="n"/>
      <c r="B121" s="24" t="n"/>
      <c r="C121" s="25" t="n"/>
      <c r="D121" s="25" t="n"/>
      <c r="E121" s="25" t="n"/>
      <c r="F121" s="25" t="n"/>
      <c r="G121" s="24" t="n"/>
      <c r="H121">
        <f>IF(OR(B121="",G121=""),"",ROUND((G121-B121)*1440,0))</f>
        <v/>
      </c>
      <c r="I121">
        <f>IF(H121="","",IF(H121&lt;=Dashboard!$B$6,"Sim","Não"))</f>
        <v/>
      </c>
      <c r="J121" s="25" t="n"/>
      <c r="K121" s="25" t="n"/>
      <c r="L121" s="26" t="n"/>
      <c r="M121" s="25" t="n"/>
    </row>
    <row r="122">
      <c r="A122" s="23" t="n"/>
      <c r="B122" s="24" t="n"/>
      <c r="C122" s="25" t="n"/>
      <c r="D122" s="25" t="n"/>
      <c r="E122" s="25" t="n"/>
      <c r="F122" s="25" t="n"/>
      <c r="G122" s="24" t="n"/>
      <c r="H122">
        <f>IF(OR(B122="",G122=""),"",ROUND((G122-B122)*1440,0))</f>
        <v/>
      </c>
      <c r="I122">
        <f>IF(H122="","",IF(H122&lt;=Dashboard!$B$6,"Sim","Não"))</f>
        <v/>
      </c>
      <c r="J122" s="25" t="n"/>
      <c r="K122" s="25" t="n"/>
      <c r="L122" s="26" t="n"/>
      <c r="M122" s="25" t="n"/>
    </row>
    <row r="123">
      <c r="A123" s="23" t="n"/>
      <c r="B123" s="24" t="n"/>
      <c r="C123" s="25" t="n"/>
      <c r="D123" s="25" t="n"/>
      <c r="E123" s="25" t="n"/>
      <c r="F123" s="25" t="n"/>
      <c r="G123" s="24" t="n"/>
      <c r="H123">
        <f>IF(OR(B123="",G123=""),"",ROUND((G123-B123)*1440,0))</f>
        <v/>
      </c>
      <c r="I123">
        <f>IF(H123="","",IF(H123&lt;=Dashboard!$B$6,"Sim","Não"))</f>
        <v/>
      </c>
      <c r="J123" s="25" t="n"/>
      <c r="K123" s="25" t="n"/>
      <c r="L123" s="26" t="n"/>
      <c r="M123" s="25" t="n"/>
    </row>
    <row r="124">
      <c r="A124" s="23" t="n"/>
      <c r="B124" s="24" t="n"/>
      <c r="C124" s="25" t="n"/>
      <c r="D124" s="25" t="n"/>
      <c r="E124" s="25" t="n"/>
      <c r="F124" s="25" t="n"/>
      <c r="G124" s="24" t="n"/>
      <c r="H124">
        <f>IF(OR(B124="",G124=""),"",ROUND((G124-B124)*1440,0))</f>
        <v/>
      </c>
      <c r="I124">
        <f>IF(H124="","",IF(H124&lt;=Dashboard!$B$6,"Sim","Não"))</f>
        <v/>
      </c>
      <c r="J124" s="25" t="n"/>
      <c r="K124" s="25" t="n"/>
      <c r="L124" s="26" t="n"/>
      <c r="M124" s="25" t="n"/>
    </row>
    <row r="125">
      <c r="A125" s="23" t="n"/>
      <c r="B125" s="24" t="n"/>
      <c r="C125" s="25" t="n"/>
      <c r="D125" s="25" t="n"/>
      <c r="E125" s="25" t="n"/>
      <c r="F125" s="25" t="n"/>
      <c r="G125" s="24" t="n"/>
      <c r="H125">
        <f>IF(OR(B125="",G125=""),"",ROUND((G125-B125)*1440,0))</f>
        <v/>
      </c>
      <c r="I125">
        <f>IF(H125="","",IF(H125&lt;=Dashboard!$B$6,"Sim","Não"))</f>
        <v/>
      </c>
      <c r="J125" s="25" t="n"/>
      <c r="K125" s="25" t="n"/>
      <c r="L125" s="26" t="n"/>
      <c r="M125" s="25" t="n"/>
    </row>
    <row r="126">
      <c r="A126" s="23" t="n"/>
      <c r="B126" s="24" t="n"/>
      <c r="C126" s="25" t="n"/>
      <c r="D126" s="25" t="n"/>
      <c r="E126" s="25" t="n"/>
      <c r="F126" s="25" t="n"/>
      <c r="G126" s="24" t="n"/>
      <c r="H126">
        <f>IF(OR(B126="",G126=""),"",ROUND((G126-B126)*1440,0))</f>
        <v/>
      </c>
      <c r="I126">
        <f>IF(H126="","",IF(H126&lt;=Dashboard!$B$6,"Sim","Não"))</f>
        <v/>
      </c>
      <c r="J126" s="25" t="n"/>
      <c r="K126" s="25" t="n"/>
      <c r="L126" s="26" t="n"/>
      <c r="M126" s="25" t="n"/>
    </row>
    <row r="127">
      <c r="A127" s="23" t="n"/>
      <c r="B127" s="24" t="n"/>
      <c r="C127" s="25" t="n"/>
      <c r="D127" s="25" t="n"/>
      <c r="E127" s="25" t="n"/>
      <c r="F127" s="25" t="n"/>
      <c r="G127" s="24" t="n"/>
      <c r="H127">
        <f>IF(OR(B127="",G127=""),"",ROUND((G127-B127)*1440,0))</f>
        <v/>
      </c>
      <c r="I127">
        <f>IF(H127="","",IF(H127&lt;=Dashboard!$B$6,"Sim","Não"))</f>
        <v/>
      </c>
      <c r="J127" s="25" t="n"/>
      <c r="K127" s="25" t="n"/>
      <c r="L127" s="26" t="n"/>
      <c r="M127" s="25" t="n"/>
    </row>
    <row r="128">
      <c r="A128" s="23" t="n"/>
      <c r="B128" s="24" t="n"/>
      <c r="C128" s="25" t="n"/>
      <c r="D128" s="25" t="n"/>
      <c r="E128" s="25" t="n"/>
      <c r="F128" s="25" t="n"/>
      <c r="G128" s="24" t="n"/>
      <c r="H128">
        <f>IF(OR(B128="",G128=""),"",ROUND((G128-B128)*1440,0))</f>
        <v/>
      </c>
      <c r="I128">
        <f>IF(H128="","",IF(H128&lt;=Dashboard!$B$6,"Sim","Não"))</f>
        <v/>
      </c>
      <c r="J128" s="25" t="n"/>
      <c r="K128" s="25" t="n"/>
      <c r="L128" s="26" t="n"/>
      <c r="M128" s="25" t="n"/>
    </row>
    <row r="129">
      <c r="A129" s="23" t="n"/>
      <c r="B129" s="24" t="n"/>
      <c r="C129" s="25" t="n"/>
      <c r="D129" s="25" t="n"/>
      <c r="E129" s="25" t="n"/>
      <c r="F129" s="25" t="n"/>
      <c r="G129" s="24" t="n"/>
      <c r="H129">
        <f>IF(OR(B129="",G129=""),"",ROUND((G129-B129)*1440,0))</f>
        <v/>
      </c>
      <c r="I129">
        <f>IF(H129="","",IF(H129&lt;=Dashboard!$B$6,"Sim","Não"))</f>
        <v/>
      </c>
      <c r="J129" s="25" t="n"/>
      <c r="K129" s="25" t="n"/>
      <c r="L129" s="26" t="n"/>
      <c r="M129" s="25" t="n"/>
    </row>
    <row r="130">
      <c r="A130" s="23" t="n"/>
      <c r="B130" s="24" t="n"/>
      <c r="C130" s="25" t="n"/>
      <c r="D130" s="25" t="n"/>
      <c r="E130" s="25" t="n"/>
      <c r="F130" s="25" t="n"/>
      <c r="G130" s="24" t="n"/>
      <c r="H130">
        <f>IF(OR(B130="",G130=""),"",ROUND((G130-B130)*1440,0))</f>
        <v/>
      </c>
      <c r="I130">
        <f>IF(H130="","",IF(H130&lt;=Dashboard!$B$6,"Sim","Não"))</f>
        <v/>
      </c>
      <c r="J130" s="25" t="n"/>
      <c r="K130" s="25" t="n"/>
      <c r="L130" s="26" t="n"/>
      <c r="M130" s="25" t="n"/>
    </row>
    <row r="131">
      <c r="A131" s="23" t="n"/>
      <c r="B131" s="24" t="n"/>
      <c r="C131" s="25" t="n"/>
      <c r="D131" s="25" t="n"/>
      <c r="E131" s="25" t="n"/>
      <c r="F131" s="25" t="n"/>
      <c r="G131" s="24" t="n"/>
      <c r="H131">
        <f>IF(OR(B131="",G131=""),"",ROUND((G131-B131)*1440,0))</f>
        <v/>
      </c>
      <c r="I131">
        <f>IF(H131="","",IF(H131&lt;=Dashboard!$B$6,"Sim","Não"))</f>
        <v/>
      </c>
      <c r="J131" s="25" t="n"/>
      <c r="K131" s="25" t="n"/>
      <c r="L131" s="26" t="n"/>
      <c r="M131" s="25" t="n"/>
    </row>
    <row r="132">
      <c r="A132" s="23" t="n"/>
      <c r="B132" s="24" t="n"/>
      <c r="C132" s="25" t="n"/>
      <c r="D132" s="25" t="n"/>
      <c r="E132" s="25" t="n"/>
      <c r="F132" s="25" t="n"/>
      <c r="G132" s="24" t="n"/>
      <c r="H132">
        <f>IF(OR(B132="",G132=""),"",ROUND((G132-B132)*1440,0))</f>
        <v/>
      </c>
      <c r="I132">
        <f>IF(H132="","",IF(H132&lt;=Dashboard!$B$6,"Sim","Não"))</f>
        <v/>
      </c>
      <c r="J132" s="25" t="n"/>
      <c r="K132" s="25" t="n"/>
      <c r="L132" s="26" t="n"/>
      <c r="M132" s="25" t="n"/>
    </row>
    <row r="133">
      <c r="A133" s="23" t="n"/>
      <c r="B133" s="24" t="n"/>
      <c r="C133" s="25" t="n"/>
      <c r="D133" s="25" t="n"/>
      <c r="E133" s="25" t="n"/>
      <c r="F133" s="25" t="n"/>
      <c r="G133" s="24" t="n"/>
      <c r="H133">
        <f>IF(OR(B133="",G133=""),"",ROUND((G133-B133)*1440,0))</f>
        <v/>
      </c>
      <c r="I133">
        <f>IF(H133="","",IF(H133&lt;=Dashboard!$B$6,"Sim","Não"))</f>
        <v/>
      </c>
      <c r="J133" s="25" t="n"/>
      <c r="K133" s="25" t="n"/>
      <c r="L133" s="26" t="n"/>
      <c r="M133" s="25" t="n"/>
    </row>
    <row r="134">
      <c r="A134" s="23" t="n"/>
      <c r="B134" s="24" t="n"/>
      <c r="C134" s="25" t="n"/>
      <c r="D134" s="25" t="n"/>
      <c r="E134" s="25" t="n"/>
      <c r="F134" s="25" t="n"/>
      <c r="G134" s="24" t="n"/>
      <c r="H134">
        <f>IF(OR(B134="",G134=""),"",ROUND((G134-B134)*1440,0))</f>
        <v/>
      </c>
      <c r="I134">
        <f>IF(H134="","",IF(H134&lt;=Dashboard!$B$6,"Sim","Não"))</f>
        <v/>
      </c>
      <c r="J134" s="25" t="n"/>
      <c r="K134" s="25" t="n"/>
      <c r="L134" s="26" t="n"/>
      <c r="M134" s="25" t="n"/>
    </row>
    <row r="135">
      <c r="A135" s="23" t="n"/>
      <c r="B135" s="24" t="n"/>
      <c r="C135" s="25" t="n"/>
      <c r="D135" s="25" t="n"/>
      <c r="E135" s="25" t="n"/>
      <c r="F135" s="25" t="n"/>
      <c r="G135" s="24" t="n"/>
      <c r="H135">
        <f>IF(OR(B135="",G135=""),"",ROUND((G135-B135)*1440,0))</f>
        <v/>
      </c>
      <c r="I135">
        <f>IF(H135="","",IF(H135&lt;=Dashboard!$B$6,"Sim","Não"))</f>
        <v/>
      </c>
      <c r="J135" s="25" t="n"/>
      <c r="K135" s="25" t="n"/>
      <c r="L135" s="26" t="n"/>
      <c r="M135" s="25" t="n"/>
    </row>
    <row r="136">
      <c r="A136" s="23" t="n"/>
      <c r="B136" s="24" t="n"/>
      <c r="C136" s="25" t="n"/>
      <c r="D136" s="25" t="n"/>
      <c r="E136" s="25" t="n"/>
      <c r="F136" s="25" t="n"/>
      <c r="G136" s="24" t="n"/>
      <c r="H136">
        <f>IF(OR(B136="",G136=""),"",ROUND((G136-B136)*1440,0))</f>
        <v/>
      </c>
      <c r="I136">
        <f>IF(H136="","",IF(H136&lt;=Dashboard!$B$6,"Sim","Não"))</f>
        <v/>
      </c>
      <c r="J136" s="25" t="n"/>
      <c r="K136" s="25" t="n"/>
      <c r="L136" s="26" t="n"/>
      <c r="M136" s="25" t="n"/>
    </row>
    <row r="137">
      <c r="A137" s="23" t="n"/>
      <c r="B137" s="24" t="n"/>
      <c r="C137" s="25" t="n"/>
      <c r="D137" s="25" t="n"/>
      <c r="E137" s="25" t="n"/>
      <c r="F137" s="25" t="n"/>
      <c r="G137" s="24" t="n"/>
      <c r="H137">
        <f>IF(OR(B137="",G137=""),"",ROUND((G137-B137)*1440,0))</f>
        <v/>
      </c>
      <c r="I137">
        <f>IF(H137="","",IF(H137&lt;=Dashboard!$B$6,"Sim","Não"))</f>
        <v/>
      </c>
      <c r="J137" s="25" t="n"/>
      <c r="K137" s="25" t="n"/>
      <c r="L137" s="26" t="n"/>
      <c r="M137" s="25" t="n"/>
    </row>
    <row r="138">
      <c r="A138" s="23" t="n"/>
      <c r="B138" s="24" t="n"/>
      <c r="C138" s="25" t="n"/>
      <c r="D138" s="25" t="n"/>
      <c r="E138" s="25" t="n"/>
      <c r="F138" s="25" t="n"/>
      <c r="G138" s="24" t="n"/>
      <c r="H138">
        <f>IF(OR(B138="",G138=""),"",ROUND((G138-B138)*1440,0))</f>
        <v/>
      </c>
      <c r="I138">
        <f>IF(H138="","",IF(H138&lt;=Dashboard!$B$6,"Sim","Não"))</f>
        <v/>
      </c>
      <c r="J138" s="25" t="n"/>
      <c r="K138" s="25" t="n"/>
      <c r="L138" s="26" t="n"/>
      <c r="M138" s="25" t="n"/>
    </row>
    <row r="139">
      <c r="A139" s="23" t="n"/>
      <c r="B139" s="24" t="n"/>
      <c r="C139" s="25" t="n"/>
      <c r="D139" s="25" t="n"/>
      <c r="E139" s="25" t="n"/>
      <c r="F139" s="25" t="n"/>
      <c r="G139" s="24" t="n"/>
      <c r="H139">
        <f>IF(OR(B139="",G139=""),"",ROUND((G139-B139)*1440,0))</f>
        <v/>
      </c>
      <c r="I139">
        <f>IF(H139="","",IF(H139&lt;=Dashboard!$B$6,"Sim","Não"))</f>
        <v/>
      </c>
      <c r="J139" s="25" t="n"/>
      <c r="K139" s="25" t="n"/>
      <c r="L139" s="26" t="n"/>
      <c r="M139" s="25" t="n"/>
    </row>
    <row r="140">
      <c r="A140" s="23" t="n"/>
      <c r="B140" s="24" t="n"/>
      <c r="C140" s="25" t="n"/>
      <c r="D140" s="25" t="n"/>
      <c r="E140" s="25" t="n"/>
      <c r="F140" s="25" t="n"/>
      <c r="G140" s="24" t="n"/>
      <c r="H140">
        <f>IF(OR(B140="",G140=""),"",ROUND((G140-B140)*1440,0))</f>
        <v/>
      </c>
      <c r="I140">
        <f>IF(H140="","",IF(H140&lt;=Dashboard!$B$6,"Sim","Não"))</f>
        <v/>
      </c>
      <c r="J140" s="25" t="n"/>
      <c r="K140" s="25" t="n"/>
      <c r="L140" s="26" t="n"/>
      <c r="M140" s="25" t="n"/>
    </row>
    <row r="141">
      <c r="A141" s="23" t="n"/>
      <c r="B141" s="24" t="n"/>
      <c r="C141" s="25" t="n"/>
      <c r="D141" s="25" t="n"/>
      <c r="E141" s="25" t="n"/>
      <c r="F141" s="25" t="n"/>
      <c r="G141" s="24" t="n"/>
      <c r="H141">
        <f>IF(OR(B141="",G141=""),"",ROUND((G141-B141)*1440,0))</f>
        <v/>
      </c>
      <c r="I141">
        <f>IF(H141="","",IF(H141&lt;=Dashboard!$B$6,"Sim","Não"))</f>
        <v/>
      </c>
      <c r="J141" s="25" t="n"/>
      <c r="K141" s="25" t="n"/>
      <c r="L141" s="26" t="n"/>
      <c r="M141" s="25" t="n"/>
    </row>
    <row r="142">
      <c r="A142" s="23" t="n"/>
      <c r="B142" s="24" t="n"/>
      <c r="C142" s="25" t="n"/>
      <c r="D142" s="25" t="n"/>
      <c r="E142" s="25" t="n"/>
      <c r="F142" s="25" t="n"/>
      <c r="G142" s="24" t="n"/>
      <c r="H142">
        <f>IF(OR(B142="",G142=""),"",ROUND((G142-B142)*1440,0))</f>
        <v/>
      </c>
      <c r="I142">
        <f>IF(H142="","",IF(H142&lt;=Dashboard!$B$6,"Sim","Não"))</f>
        <v/>
      </c>
      <c r="J142" s="25" t="n"/>
      <c r="K142" s="25" t="n"/>
      <c r="L142" s="26" t="n"/>
      <c r="M142" s="25" t="n"/>
    </row>
    <row r="143">
      <c r="A143" s="23" t="n"/>
      <c r="B143" s="24" t="n"/>
      <c r="C143" s="25" t="n"/>
      <c r="D143" s="25" t="n"/>
      <c r="E143" s="25" t="n"/>
      <c r="F143" s="25" t="n"/>
      <c r="G143" s="24" t="n"/>
      <c r="H143">
        <f>IF(OR(B143="",G143=""),"",ROUND((G143-B143)*1440,0))</f>
        <v/>
      </c>
      <c r="I143">
        <f>IF(H143="","",IF(H143&lt;=Dashboard!$B$6,"Sim","Não"))</f>
        <v/>
      </c>
      <c r="J143" s="25" t="n"/>
      <c r="K143" s="25" t="n"/>
      <c r="L143" s="26" t="n"/>
      <c r="M143" s="25" t="n"/>
    </row>
    <row r="144">
      <c r="A144" s="23" t="n"/>
      <c r="B144" s="24" t="n"/>
      <c r="C144" s="25" t="n"/>
      <c r="D144" s="25" t="n"/>
      <c r="E144" s="25" t="n"/>
      <c r="F144" s="25" t="n"/>
      <c r="G144" s="24" t="n"/>
      <c r="H144">
        <f>IF(OR(B144="",G144=""),"",ROUND((G144-B144)*1440,0))</f>
        <v/>
      </c>
      <c r="I144">
        <f>IF(H144="","",IF(H144&lt;=Dashboard!$B$6,"Sim","Não"))</f>
        <v/>
      </c>
      <c r="J144" s="25" t="n"/>
      <c r="K144" s="25" t="n"/>
      <c r="L144" s="26" t="n"/>
      <c r="M144" s="25" t="n"/>
    </row>
    <row r="145">
      <c r="A145" s="23" t="n"/>
      <c r="B145" s="24" t="n"/>
      <c r="C145" s="25" t="n"/>
      <c r="D145" s="25" t="n"/>
      <c r="E145" s="25" t="n"/>
      <c r="F145" s="25" t="n"/>
      <c r="G145" s="24" t="n"/>
      <c r="H145">
        <f>IF(OR(B145="",G145=""),"",ROUND((G145-B145)*1440,0))</f>
        <v/>
      </c>
      <c r="I145">
        <f>IF(H145="","",IF(H145&lt;=Dashboard!$B$6,"Sim","Não"))</f>
        <v/>
      </c>
      <c r="J145" s="25" t="n"/>
      <c r="K145" s="25" t="n"/>
      <c r="L145" s="26" t="n"/>
      <c r="M145" s="25" t="n"/>
    </row>
    <row r="146">
      <c r="A146" s="23" t="n"/>
      <c r="B146" s="24" t="n"/>
      <c r="C146" s="25" t="n"/>
      <c r="D146" s="25" t="n"/>
      <c r="E146" s="25" t="n"/>
      <c r="F146" s="25" t="n"/>
      <c r="G146" s="24" t="n"/>
      <c r="H146">
        <f>IF(OR(B146="",G146=""),"",ROUND((G146-B146)*1440,0))</f>
        <v/>
      </c>
      <c r="I146">
        <f>IF(H146="","",IF(H146&lt;=Dashboard!$B$6,"Sim","Não"))</f>
        <v/>
      </c>
      <c r="J146" s="25" t="n"/>
      <c r="K146" s="25" t="n"/>
      <c r="L146" s="26" t="n"/>
      <c r="M146" s="25" t="n"/>
    </row>
    <row r="147">
      <c r="A147" s="23" t="n"/>
      <c r="B147" s="24" t="n"/>
      <c r="C147" s="25" t="n"/>
      <c r="D147" s="25" t="n"/>
      <c r="E147" s="25" t="n"/>
      <c r="F147" s="25" t="n"/>
      <c r="G147" s="24" t="n"/>
      <c r="H147">
        <f>IF(OR(B147="",G147=""),"",ROUND((G147-B147)*1440,0))</f>
        <v/>
      </c>
      <c r="I147">
        <f>IF(H147="","",IF(H147&lt;=Dashboard!$B$6,"Sim","Não"))</f>
        <v/>
      </c>
      <c r="J147" s="25" t="n"/>
      <c r="K147" s="25" t="n"/>
      <c r="L147" s="26" t="n"/>
      <c r="M147" s="25" t="n"/>
    </row>
    <row r="148">
      <c r="A148" s="23" t="n"/>
      <c r="B148" s="24" t="n"/>
      <c r="C148" s="25" t="n"/>
      <c r="D148" s="25" t="n"/>
      <c r="E148" s="25" t="n"/>
      <c r="F148" s="25" t="n"/>
      <c r="G148" s="24" t="n"/>
      <c r="H148">
        <f>IF(OR(B148="",G148=""),"",ROUND((G148-B148)*1440,0))</f>
        <v/>
      </c>
      <c r="I148">
        <f>IF(H148="","",IF(H148&lt;=Dashboard!$B$6,"Sim","Não"))</f>
        <v/>
      </c>
      <c r="J148" s="25" t="n"/>
      <c r="K148" s="25" t="n"/>
      <c r="L148" s="26" t="n"/>
      <c r="M148" s="25" t="n"/>
    </row>
    <row r="149">
      <c r="A149" s="23" t="n"/>
      <c r="B149" s="24" t="n"/>
      <c r="C149" s="25" t="n"/>
      <c r="D149" s="25" t="n"/>
      <c r="E149" s="25" t="n"/>
      <c r="F149" s="25" t="n"/>
      <c r="G149" s="24" t="n"/>
      <c r="H149">
        <f>IF(OR(B149="",G149=""),"",ROUND((G149-B149)*1440,0))</f>
        <v/>
      </c>
      <c r="I149">
        <f>IF(H149="","",IF(H149&lt;=Dashboard!$B$6,"Sim","Não"))</f>
        <v/>
      </c>
      <c r="J149" s="25" t="n"/>
      <c r="K149" s="25" t="n"/>
      <c r="L149" s="26" t="n"/>
      <c r="M149" s="25" t="n"/>
    </row>
    <row r="150">
      <c r="A150" s="23" t="n"/>
      <c r="B150" s="24" t="n"/>
      <c r="C150" s="25" t="n"/>
      <c r="D150" s="25" t="n"/>
      <c r="E150" s="25" t="n"/>
      <c r="F150" s="25" t="n"/>
      <c r="G150" s="24" t="n"/>
      <c r="H150">
        <f>IF(OR(B150="",G150=""),"",ROUND((G150-B150)*1440,0))</f>
        <v/>
      </c>
      <c r="I150">
        <f>IF(H150="","",IF(H150&lt;=Dashboard!$B$6,"Sim","Não"))</f>
        <v/>
      </c>
      <c r="J150" s="25" t="n"/>
      <c r="K150" s="25" t="n"/>
      <c r="L150" s="26" t="n"/>
      <c r="M150" s="25" t="n"/>
    </row>
    <row r="151">
      <c r="A151" s="23" t="n"/>
      <c r="B151" s="24" t="n"/>
      <c r="C151" s="25" t="n"/>
      <c r="D151" s="25" t="n"/>
      <c r="E151" s="25" t="n"/>
      <c r="F151" s="25" t="n"/>
      <c r="G151" s="24" t="n"/>
      <c r="H151">
        <f>IF(OR(B151="",G151=""),"",ROUND((G151-B151)*1440,0))</f>
        <v/>
      </c>
      <c r="I151">
        <f>IF(H151="","",IF(H151&lt;=Dashboard!$B$6,"Sim","Não"))</f>
        <v/>
      </c>
      <c r="J151" s="25" t="n"/>
      <c r="K151" s="25" t="n"/>
      <c r="L151" s="26" t="n"/>
      <c r="M151" s="25" t="n"/>
    </row>
    <row r="152">
      <c r="A152" s="23" t="n"/>
      <c r="B152" s="24" t="n"/>
      <c r="C152" s="25" t="n"/>
      <c r="D152" s="25" t="n"/>
      <c r="E152" s="25" t="n"/>
      <c r="F152" s="25" t="n"/>
      <c r="G152" s="24" t="n"/>
      <c r="H152">
        <f>IF(OR(B152="",G152=""),"",ROUND((G152-B152)*1440,0))</f>
        <v/>
      </c>
      <c r="I152">
        <f>IF(H152="","",IF(H152&lt;=Dashboard!$B$6,"Sim","Não"))</f>
        <v/>
      </c>
      <c r="J152" s="25" t="n"/>
      <c r="K152" s="25" t="n"/>
      <c r="L152" s="26" t="n"/>
      <c r="M152" s="25" t="n"/>
    </row>
    <row r="153">
      <c r="A153" s="23" t="n"/>
      <c r="B153" s="24" t="n"/>
      <c r="C153" s="25" t="n"/>
      <c r="D153" s="25" t="n"/>
      <c r="E153" s="25" t="n"/>
      <c r="F153" s="25" t="n"/>
      <c r="G153" s="24" t="n"/>
      <c r="H153">
        <f>IF(OR(B153="",G153=""),"",ROUND((G153-B153)*1440,0))</f>
        <v/>
      </c>
      <c r="I153">
        <f>IF(H153="","",IF(H153&lt;=Dashboard!$B$6,"Sim","Não"))</f>
        <v/>
      </c>
      <c r="J153" s="25" t="n"/>
      <c r="K153" s="25" t="n"/>
      <c r="L153" s="26" t="n"/>
      <c r="M153" s="25" t="n"/>
    </row>
    <row r="154">
      <c r="A154" s="23" t="n"/>
      <c r="B154" s="24" t="n"/>
      <c r="C154" s="25" t="n"/>
      <c r="D154" s="25" t="n"/>
      <c r="E154" s="25" t="n"/>
      <c r="F154" s="25" t="n"/>
      <c r="G154" s="24" t="n"/>
      <c r="H154">
        <f>IF(OR(B154="",G154=""),"",ROUND((G154-B154)*1440,0))</f>
        <v/>
      </c>
      <c r="I154">
        <f>IF(H154="","",IF(H154&lt;=Dashboard!$B$6,"Sim","Não"))</f>
        <v/>
      </c>
      <c r="J154" s="25" t="n"/>
      <c r="K154" s="25" t="n"/>
      <c r="L154" s="26" t="n"/>
      <c r="M154" s="25" t="n"/>
    </row>
    <row r="155">
      <c r="A155" s="23" t="n"/>
      <c r="B155" s="24" t="n"/>
      <c r="C155" s="25" t="n"/>
      <c r="D155" s="25" t="n"/>
      <c r="E155" s="25" t="n"/>
      <c r="F155" s="25" t="n"/>
      <c r="G155" s="24" t="n"/>
      <c r="H155">
        <f>IF(OR(B155="",G155=""),"",ROUND((G155-B155)*1440,0))</f>
        <v/>
      </c>
      <c r="I155">
        <f>IF(H155="","",IF(H155&lt;=Dashboard!$B$6,"Sim","Não"))</f>
        <v/>
      </c>
      <c r="J155" s="25" t="n"/>
      <c r="K155" s="25" t="n"/>
      <c r="L155" s="26" t="n"/>
      <c r="M155" s="25" t="n"/>
    </row>
    <row r="156">
      <c r="A156" s="23" t="n"/>
      <c r="B156" s="24" t="n"/>
      <c r="C156" s="25" t="n"/>
      <c r="D156" s="25" t="n"/>
      <c r="E156" s="25" t="n"/>
      <c r="F156" s="25" t="n"/>
      <c r="G156" s="24" t="n"/>
      <c r="H156">
        <f>IF(OR(B156="",G156=""),"",ROUND((G156-B156)*1440,0))</f>
        <v/>
      </c>
      <c r="I156">
        <f>IF(H156="","",IF(H156&lt;=Dashboard!$B$6,"Sim","Não"))</f>
        <v/>
      </c>
      <c r="J156" s="25" t="n"/>
      <c r="K156" s="25" t="n"/>
      <c r="L156" s="26" t="n"/>
      <c r="M156" s="25" t="n"/>
    </row>
    <row r="157">
      <c r="A157" s="23" t="n"/>
      <c r="B157" s="24" t="n"/>
      <c r="C157" s="25" t="n"/>
      <c r="D157" s="25" t="n"/>
      <c r="E157" s="25" t="n"/>
      <c r="F157" s="25" t="n"/>
      <c r="G157" s="24" t="n"/>
      <c r="H157">
        <f>IF(OR(B157="",G157=""),"",ROUND((G157-B157)*1440,0))</f>
        <v/>
      </c>
      <c r="I157">
        <f>IF(H157="","",IF(H157&lt;=Dashboard!$B$6,"Sim","Não"))</f>
        <v/>
      </c>
      <c r="J157" s="25" t="n"/>
      <c r="K157" s="25" t="n"/>
      <c r="L157" s="26" t="n"/>
      <c r="M157" s="25" t="n"/>
    </row>
    <row r="158">
      <c r="A158" s="23" t="n"/>
      <c r="B158" s="24" t="n"/>
      <c r="C158" s="25" t="n"/>
      <c r="D158" s="25" t="n"/>
      <c r="E158" s="25" t="n"/>
      <c r="F158" s="25" t="n"/>
      <c r="G158" s="24" t="n"/>
      <c r="H158">
        <f>IF(OR(B158="",G158=""),"",ROUND((G158-B158)*1440,0))</f>
        <v/>
      </c>
      <c r="I158">
        <f>IF(H158="","",IF(H158&lt;=Dashboard!$B$6,"Sim","Não"))</f>
        <v/>
      </c>
      <c r="J158" s="25" t="n"/>
      <c r="K158" s="25" t="n"/>
      <c r="L158" s="26" t="n"/>
      <c r="M158" s="25" t="n"/>
    </row>
    <row r="159">
      <c r="A159" s="23" t="n"/>
      <c r="B159" s="24" t="n"/>
      <c r="C159" s="25" t="n"/>
      <c r="D159" s="25" t="n"/>
      <c r="E159" s="25" t="n"/>
      <c r="F159" s="25" t="n"/>
      <c r="G159" s="24" t="n"/>
      <c r="H159">
        <f>IF(OR(B159="",G159=""),"",ROUND((G159-B159)*1440,0))</f>
        <v/>
      </c>
      <c r="I159">
        <f>IF(H159="","",IF(H159&lt;=Dashboard!$B$6,"Sim","Não"))</f>
        <v/>
      </c>
      <c r="J159" s="25" t="n"/>
      <c r="K159" s="25" t="n"/>
      <c r="L159" s="26" t="n"/>
      <c r="M159" s="25" t="n"/>
    </row>
    <row r="160">
      <c r="A160" s="23" t="n"/>
      <c r="B160" s="24" t="n"/>
      <c r="C160" s="25" t="n"/>
      <c r="D160" s="25" t="n"/>
      <c r="E160" s="25" t="n"/>
      <c r="F160" s="25" t="n"/>
      <c r="G160" s="24" t="n"/>
      <c r="H160">
        <f>IF(OR(B160="",G160=""),"",ROUND((G160-B160)*1440,0))</f>
        <v/>
      </c>
      <c r="I160">
        <f>IF(H160="","",IF(H160&lt;=Dashboard!$B$6,"Sim","Não"))</f>
        <v/>
      </c>
      <c r="J160" s="25" t="n"/>
      <c r="K160" s="25" t="n"/>
      <c r="L160" s="26" t="n"/>
      <c r="M160" s="25" t="n"/>
    </row>
    <row r="161">
      <c r="A161" s="23" t="n"/>
      <c r="B161" s="24" t="n"/>
      <c r="C161" s="25" t="n"/>
      <c r="D161" s="25" t="n"/>
      <c r="E161" s="25" t="n"/>
      <c r="F161" s="25" t="n"/>
      <c r="G161" s="24" t="n"/>
      <c r="H161">
        <f>IF(OR(B161="",G161=""),"",ROUND((G161-B161)*1440,0))</f>
        <v/>
      </c>
      <c r="I161">
        <f>IF(H161="","",IF(H161&lt;=Dashboard!$B$6,"Sim","Não"))</f>
        <v/>
      </c>
      <c r="J161" s="25" t="n"/>
      <c r="K161" s="25" t="n"/>
      <c r="L161" s="26" t="n"/>
      <c r="M161" s="25" t="n"/>
    </row>
    <row r="162">
      <c r="A162" s="23" t="n"/>
      <c r="B162" s="24" t="n"/>
      <c r="C162" s="25" t="n"/>
      <c r="D162" s="25" t="n"/>
      <c r="E162" s="25" t="n"/>
      <c r="F162" s="25" t="n"/>
      <c r="G162" s="24" t="n"/>
      <c r="H162">
        <f>IF(OR(B162="",G162=""),"",ROUND((G162-B162)*1440,0))</f>
        <v/>
      </c>
      <c r="I162">
        <f>IF(H162="","",IF(H162&lt;=Dashboard!$B$6,"Sim","Não"))</f>
        <v/>
      </c>
      <c r="J162" s="25" t="n"/>
      <c r="K162" s="25" t="n"/>
      <c r="L162" s="26" t="n"/>
      <c r="M162" s="25" t="n"/>
    </row>
    <row r="163">
      <c r="A163" s="23" t="n"/>
      <c r="B163" s="24" t="n"/>
      <c r="C163" s="25" t="n"/>
      <c r="D163" s="25" t="n"/>
      <c r="E163" s="25" t="n"/>
      <c r="F163" s="25" t="n"/>
      <c r="G163" s="24" t="n"/>
      <c r="H163">
        <f>IF(OR(B163="",G163=""),"",ROUND((G163-B163)*1440,0))</f>
        <v/>
      </c>
      <c r="I163">
        <f>IF(H163="","",IF(H163&lt;=Dashboard!$B$6,"Sim","Não"))</f>
        <v/>
      </c>
      <c r="J163" s="25" t="n"/>
      <c r="K163" s="25" t="n"/>
      <c r="L163" s="26" t="n"/>
      <c r="M163" s="25" t="n"/>
    </row>
    <row r="164">
      <c r="A164" s="23" t="n"/>
      <c r="B164" s="24" t="n"/>
      <c r="C164" s="25" t="n"/>
      <c r="D164" s="25" t="n"/>
      <c r="E164" s="25" t="n"/>
      <c r="F164" s="25" t="n"/>
      <c r="G164" s="24" t="n"/>
      <c r="H164">
        <f>IF(OR(B164="",G164=""),"",ROUND((G164-B164)*1440,0))</f>
        <v/>
      </c>
      <c r="I164">
        <f>IF(H164="","",IF(H164&lt;=Dashboard!$B$6,"Sim","Não"))</f>
        <v/>
      </c>
      <c r="J164" s="25" t="n"/>
      <c r="K164" s="25" t="n"/>
      <c r="L164" s="26" t="n"/>
      <c r="M164" s="25" t="n"/>
    </row>
    <row r="165">
      <c r="A165" s="23" t="n"/>
      <c r="B165" s="24" t="n"/>
      <c r="C165" s="25" t="n"/>
      <c r="D165" s="25" t="n"/>
      <c r="E165" s="25" t="n"/>
      <c r="F165" s="25" t="n"/>
      <c r="G165" s="24" t="n"/>
      <c r="H165">
        <f>IF(OR(B165="",G165=""),"",ROUND((G165-B165)*1440,0))</f>
        <v/>
      </c>
      <c r="I165">
        <f>IF(H165="","",IF(H165&lt;=Dashboard!$B$6,"Sim","Não"))</f>
        <v/>
      </c>
      <c r="J165" s="25" t="n"/>
      <c r="K165" s="25" t="n"/>
      <c r="L165" s="26" t="n"/>
      <c r="M165" s="25" t="n"/>
    </row>
    <row r="166">
      <c r="A166" s="23" t="n"/>
      <c r="B166" s="24" t="n"/>
      <c r="C166" s="25" t="n"/>
      <c r="D166" s="25" t="n"/>
      <c r="E166" s="25" t="n"/>
      <c r="F166" s="25" t="n"/>
      <c r="G166" s="24" t="n"/>
      <c r="H166">
        <f>IF(OR(B166="",G166=""),"",ROUND((G166-B166)*1440,0))</f>
        <v/>
      </c>
      <c r="I166">
        <f>IF(H166="","",IF(H166&lt;=Dashboard!$B$6,"Sim","Não"))</f>
        <v/>
      </c>
      <c r="J166" s="25" t="n"/>
      <c r="K166" s="25" t="n"/>
      <c r="L166" s="26" t="n"/>
      <c r="M166" s="25" t="n"/>
    </row>
    <row r="167">
      <c r="A167" s="23" t="n"/>
      <c r="B167" s="24" t="n"/>
      <c r="C167" s="25" t="n"/>
      <c r="D167" s="25" t="n"/>
      <c r="E167" s="25" t="n"/>
      <c r="F167" s="25" t="n"/>
      <c r="G167" s="24" t="n"/>
      <c r="H167">
        <f>IF(OR(B167="",G167=""),"",ROUND((G167-B167)*1440,0))</f>
        <v/>
      </c>
      <c r="I167">
        <f>IF(H167="","",IF(H167&lt;=Dashboard!$B$6,"Sim","Não"))</f>
        <v/>
      </c>
      <c r="J167" s="25" t="n"/>
      <c r="K167" s="25" t="n"/>
      <c r="L167" s="26" t="n"/>
      <c r="M167" s="25" t="n"/>
    </row>
    <row r="168">
      <c r="A168" s="23" t="n"/>
      <c r="B168" s="24" t="n"/>
      <c r="C168" s="25" t="n"/>
      <c r="D168" s="25" t="n"/>
      <c r="E168" s="25" t="n"/>
      <c r="F168" s="25" t="n"/>
      <c r="G168" s="24" t="n"/>
      <c r="H168">
        <f>IF(OR(B168="",G168=""),"",ROUND((G168-B168)*1440,0))</f>
        <v/>
      </c>
      <c r="I168">
        <f>IF(H168="","",IF(H168&lt;=Dashboard!$B$6,"Sim","Não"))</f>
        <v/>
      </c>
      <c r="J168" s="25" t="n"/>
      <c r="K168" s="25" t="n"/>
      <c r="L168" s="26" t="n"/>
      <c r="M168" s="25" t="n"/>
    </row>
    <row r="169">
      <c r="A169" s="23" t="n"/>
      <c r="B169" s="24" t="n"/>
      <c r="C169" s="25" t="n"/>
      <c r="D169" s="25" t="n"/>
      <c r="E169" s="25" t="n"/>
      <c r="F169" s="25" t="n"/>
      <c r="G169" s="24" t="n"/>
      <c r="H169">
        <f>IF(OR(B169="",G169=""),"",ROUND((G169-B169)*1440,0))</f>
        <v/>
      </c>
      <c r="I169">
        <f>IF(H169="","",IF(H169&lt;=Dashboard!$B$6,"Sim","Não"))</f>
        <v/>
      </c>
      <c r="J169" s="25" t="n"/>
      <c r="K169" s="25" t="n"/>
      <c r="L169" s="26" t="n"/>
      <c r="M169" s="25" t="n"/>
    </row>
    <row r="170">
      <c r="A170" s="23" t="n"/>
      <c r="B170" s="24" t="n"/>
      <c r="C170" s="25" t="n"/>
      <c r="D170" s="25" t="n"/>
      <c r="E170" s="25" t="n"/>
      <c r="F170" s="25" t="n"/>
      <c r="G170" s="24" t="n"/>
      <c r="H170">
        <f>IF(OR(B170="",G170=""),"",ROUND((G170-B170)*1440,0))</f>
        <v/>
      </c>
      <c r="I170">
        <f>IF(H170="","",IF(H170&lt;=Dashboard!$B$6,"Sim","Não"))</f>
        <v/>
      </c>
      <c r="J170" s="25" t="n"/>
      <c r="K170" s="25" t="n"/>
      <c r="L170" s="26" t="n"/>
      <c r="M170" s="25" t="n"/>
    </row>
    <row r="171">
      <c r="A171" s="23" t="n"/>
      <c r="B171" s="24" t="n"/>
      <c r="C171" s="25" t="n"/>
      <c r="D171" s="25" t="n"/>
      <c r="E171" s="25" t="n"/>
      <c r="F171" s="25" t="n"/>
      <c r="G171" s="24" t="n"/>
      <c r="H171">
        <f>IF(OR(B171="",G171=""),"",ROUND((G171-B171)*1440,0))</f>
        <v/>
      </c>
      <c r="I171">
        <f>IF(H171="","",IF(H171&lt;=Dashboard!$B$6,"Sim","Não"))</f>
        <v/>
      </c>
      <c r="J171" s="25" t="n"/>
      <c r="K171" s="25" t="n"/>
      <c r="L171" s="26" t="n"/>
      <c r="M171" s="25" t="n"/>
    </row>
    <row r="172">
      <c r="A172" s="23" t="n"/>
      <c r="B172" s="24" t="n"/>
      <c r="C172" s="25" t="n"/>
      <c r="D172" s="25" t="n"/>
      <c r="E172" s="25" t="n"/>
      <c r="F172" s="25" t="n"/>
      <c r="G172" s="24" t="n"/>
      <c r="H172">
        <f>IF(OR(B172="",G172=""),"",ROUND((G172-B172)*1440,0))</f>
        <v/>
      </c>
      <c r="I172">
        <f>IF(H172="","",IF(H172&lt;=Dashboard!$B$6,"Sim","Não"))</f>
        <v/>
      </c>
      <c r="J172" s="25" t="n"/>
      <c r="K172" s="25" t="n"/>
      <c r="L172" s="26" t="n"/>
      <c r="M172" s="25" t="n"/>
    </row>
    <row r="173">
      <c r="A173" s="23" t="n"/>
      <c r="B173" s="24" t="n"/>
      <c r="C173" s="25" t="n"/>
      <c r="D173" s="25" t="n"/>
      <c r="E173" s="25" t="n"/>
      <c r="F173" s="25" t="n"/>
      <c r="G173" s="24" t="n"/>
      <c r="H173">
        <f>IF(OR(B173="",G173=""),"",ROUND((G173-B173)*1440,0))</f>
        <v/>
      </c>
      <c r="I173">
        <f>IF(H173="","",IF(H173&lt;=Dashboard!$B$6,"Sim","Não"))</f>
        <v/>
      </c>
      <c r="J173" s="25" t="n"/>
      <c r="K173" s="25" t="n"/>
      <c r="L173" s="26" t="n"/>
      <c r="M173" s="25" t="n"/>
    </row>
    <row r="174">
      <c r="A174" s="23" t="n"/>
      <c r="B174" s="24" t="n"/>
      <c r="C174" s="25" t="n"/>
      <c r="D174" s="25" t="n"/>
      <c r="E174" s="25" t="n"/>
      <c r="F174" s="25" t="n"/>
      <c r="G174" s="24" t="n"/>
      <c r="H174">
        <f>IF(OR(B174="",G174=""),"",ROUND((G174-B174)*1440,0))</f>
        <v/>
      </c>
      <c r="I174">
        <f>IF(H174="","",IF(H174&lt;=Dashboard!$B$6,"Sim","Não"))</f>
        <v/>
      </c>
      <c r="J174" s="25" t="n"/>
      <c r="K174" s="25" t="n"/>
      <c r="L174" s="26" t="n"/>
      <c r="M174" s="25" t="n"/>
    </row>
    <row r="175">
      <c r="A175" s="23" t="n"/>
      <c r="B175" s="24" t="n"/>
      <c r="C175" s="25" t="n"/>
      <c r="D175" s="25" t="n"/>
      <c r="E175" s="25" t="n"/>
      <c r="F175" s="25" t="n"/>
      <c r="G175" s="24" t="n"/>
      <c r="H175">
        <f>IF(OR(B175="",G175=""),"",ROUND((G175-B175)*1440,0))</f>
        <v/>
      </c>
      <c r="I175">
        <f>IF(H175="","",IF(H175&lt;=Dashboard!$B$6,"Sim","Não"))</f>
        <v/>
      </c>
      <c r="J175" s="25" t="n"/>
      <c r="K175" s="25" t="n"/>
      <c r="L175" s="26" t="n"/>
      <c r="M175" s="25" t="n"/>
    </row>
    <row r="176">
      <c r="A176" s="23" t="n"/>
      <c r="B176" s="24" t="n"/>
      <c r="C176" s="25" t="n"/>
      <c r="D176" s="25" t="n"/>
      <c r="E176" s="25" t="n"/>
      <c r="F176" s="25" t="n"/>
      <c r="G176" s="24" t="n"/>
      <c r="H176">
        <f>IF(OR(B176="",G176=""),"",ROUND((G176-B176)*1440,0))</f>
        <v/>
      </c>
      <c r="I176">
        <f>IF(H176="","",IF(H176&lt;=Dashboard!$B$6,"Sim","Não"))</f>
        <v/>
      </c>
      <c r="J176" s="25" t="n"/>
      <c r="K176" s="25" t="n"/>
      <c r="L176" s="26" t="n"/>
      <c r="M176" s="25" t="n"/>
    </row>
    <row r="177">
      <c r="A177" s="23" t="n"/>
      <c r="B177" s="24" t="n"/>
      <c r="C177" s="25" t="n"/>
      <c r="D177" s="25" t="n"/>
      <c r="E177" s="25" t="n"/>
      <c r="F177" s="25" t="n"/>
      <c r="G177" s="24" t="n"/>
      <c r="H177">
        <f>IF(OR(B177="",G177=""),"",ROUND((G177-B177)*1440,0))</f>
        <v/>
      </c>
      <c r="I177">
        <f>IF(H177="","",IF(H177&lt;=Dashboard!$B$6,"Sim","Não"))</f>
        <v/>
      </c>
      <c r="J177" s="25" t="n"/>
      <c r="K177" s="25" t="n"/>
      <c r="L177" s="26" t="n"/>
      <c r="M177" s="25" t="n"/>
    </row>
    <row r="178">
      <c r="A178" s="23" t="n"/>
      <c r="B178" s="24" t="n"/>
      <c r="C178" s="25" t="n"/>
      <c r="D178" s="25" t="n"/>
      <c r="E178" s="25" t="n"/>
      <c r="F178" s="25" t="n"/>
      <c r="G178" s="24" t="n"/>
      <c r="H178">
        <f>IF(OR(B178="",G178=""),"",ROUND((G178-B178)*1440,0))</f>
        <v/>
      </c>
      <c r="I178">
        <f>IF(H178="","",IF(H178&lt;=Dashboard!$B$6,"Sim","Não"))</f>
        <v/>
      </c>
      <c r="J178" s="25" t="n"/>
      <c r="K178" s="25" t="n"/>
      <c r="L178" s="26" t="n"/>
      <c r="M178" s="25" t="n"/>
    </row>
    <row r="179">
      <c r="A179" s="23" t="n"/>
      <c r="B179" s="24" t="n"/>
      <c r="C179" s="25" t="n"/>
      <c r="D179" s="25" t="n"/>
      <c r="E179" s="25" t="n"/>
      <c r="F179" s="25" t="n"/>
      <c r="G179" s="24" t="n"/>
      <c r="H179">
        <f>IF(OR(B179="",G179=""),"",ROUND((G179-B179)*1440,0))</f>
        <v/>
      </c>
      <c r="I179">
        <f>IF(H179="","",IF(H179&lt;=Dashboard!$B$6,"Sim","Não"))</f>
        <v/>
      </c>
      <c r="J179" s="25" t="n"/>
      <c r="K179" s="25" t="n"/>
      <c r="L179" s="26" t="n"/>
      <c r="M179" s="25" t="n"/>
    </row>
    <row r="180">
      <c r="A180" s="23" t="n"/>
      <c r="B180" s="24" t="n"/>
      <c r="C180" s="25" t="n"/>
      <c r="D180" s="25" t="n"/>
      <c r="E180" s="25" t="n"/>
      <c r="F180" s="25" t="n"/>
      <c r="G180" s="24" t="n"/>
      <c r="H180">
        <f>IF(OR(B180="",G180=""),"",ROUND((G180-B180)*1440,0))</f>
        <v/>
      </c>
      <c r="I180">
        <f>IF(H180="","",IF(H180&lt;=Dashboard!$B$6,"Sim","Não"))</f>
        <v/>
      </c>
      <c r="J180" s="25" t="n"/>
      <c r="K180" s="25" t="n"/>
      <c r="L180" s="26" t="n"/>
      <c r="M180" s="25" t="n"/>
    </row>
    <row r="181">
      <c r="A181" s="23" t="n"/>
      <c r="B181" s="24" t="n"/>
      <c r="C181" s="25" t="n"/>
      <c r="D181" s="25" t="n"/>
      <c r="E181" s="25" t="n"/>
      <c r="F181" s="25" t="n"/>
      <c r="G181" s="24" t="n"/>
      <c r="H181">
        <f>IF(OR(B181="",G181=""),"",ROUND((G181-B181)*1440,0))</f>
        <v/>
      </c>
      <c r="I181">
        <f>IF(H181="","",IF(H181&lt;=Dashboard!$B$6,"Sim","Não"))</f>
        <v/>
      </c>
      <c r="J181" s="25" t="n"/>
      <c r="K181" s="25" t="n"/>
      <c r="L181" s="26" t="n"/>
      <c r="M181" s="25" t="n"/>
    </row>
    <row r="182">
      <c r="A182" s="23" t="n"/>
      <c r="B182" s="24" t="n"/>
      <c r="C182" s="25" t="n"/>
      <c r="D182" s="25" t="n"/>
      <c r="E182" s="25" t="n"/>
      <c r="F182" s="25" t="n"/>
      <c r="G182" s="24" t="n"/>
      <c r="H182">
        <f>IF(OR(B182="",G182=""),"",ROUND((G182-B182)*1440,0))</f>
        <v/>
      </c>
      <c r="I182">
        <f>IF(H182="","",IF(H182&lt;=Dashboard!$B$6,"Sim","Não"))</f>
        <v/>
      </c>
      <c r="J182" s="25" t="n"/>
      <c r="K182" s="25" t="n"/>
      <c r="L182" s="26" t="n"/>
      <c r="M182" s="25" t="n"/>
    </row>
    <row r="183">
      <c r="A183" s="23" t="n"/>
      <c r="B183" s="24" t="n"/>
      <c r="C183" s="25" t="n"/>
      <c r="D183" s="25" t="n"/>
      <c r="E183" s="25" t="n"/>
      <c r="F183" s="25" t="n"/>
      <c r="G183" s="24" t="n"/>
      <c r="H183">
        <f>IF(OR(B183="",G183=""),"",ROUND((G183-B183)*1440,0))</f>
        <v/>
      </c>
      <c r="I183">
        <f>IF(H183="","",IF(H183&lt;=Dashboard!$B$6,"Sim","Não"))</f>
        <v/>
      </c>
      <c r="J183" s="25" t="n"/>
      <c r="K183" s="25" t="n"/>
      <c r="L183" s="26" t="n"/>
      <c r="M183" s="25" t="n"/>
    </row>
    <row r="184">
      <c r="A184" s="23" t="n"/>
      <c r="B184" s="24" t="n"/>
      <c r="C184" s="25" t="n"/>
      <c r="D184" s="25" t="n"/>
      <c r="E184" s="25" t="n"/>
      <c r="F184" s="25" t="n"/>
      <c r="G184" s="24" t="n"/>
      <c r="H184">
        <f>IF(OR(B184="",G184=""),"",ROUND((G184-B184)*1440,0))</f>
        <v/>
      </c>
      <c r="I184">
        <f>IF(H184="","",IF(H184&lt;=Dashboard!$B$6,"Sim","Não"))</f>
        <v/>
      </c>
      <c r="J184" s="25" t="n"/>
      <c r="K184" s="25" t="n"/>
      <c r="L184" s="26" t="n"/>
      <c r="M184" s="25" t="n"/>
    </row>
    <row r="185">
      <c r="A185" s="23" t="n"/>
      <c r="B185" s="24" t="n"/>
      <c r="C185" s="25" t="n"/>
      <c r="D185" s="25" t="n"/>
      <c r="E185" s="25" t="n"/>
      <c r="F185" s="25" t="n"/>
      <c r="G185" s="24" t="n"/>
      <c r="H185">
        <f>IF(OR(B185="",G185=""),"",ROUND((G185-B185)*1440,0))</f>
        <v/>
      </c>
      <c r="I185">
        <f>IF(H185="","",IF(H185&lt;=Dashboard!$B$6,"Sim","Não"))</f>
        <v/>
      </c>
      <c r="J185" s="25" t="n"/>
      <c r="K185" s="25" t="n"/>
      <c r="L185" s="26" t="n"/>
      <c r="M185" s="25" t="n"/>
    </row>
    <row r="186">
      <c r="A186" s="23" t="n"/>
      <c r="B186" s="24" t="n"/>
      <c r="C186" s="25" t="n"/>
      <c r="D186" s="25" t="n"/>
      <c r="E186" s="25" t="n"/>
      <c r="F186" s="25" t="n"/>
      <c r="G186" s="24" t="n"/>
      <c r="H186">
        <f>IF(OR(B186="",G186=""),"",ROUND((G186-B186)*1440,0))</f>
        <v/>
      </c>
      <c r="I186">
        <f>IF(H186="","",IF(H186&lt;=Dashboard!$B$6,"Sim","Não"))</f>
        <v/>
      </c>
      <c r="J186" s="25" t="n"/>
      <c r="K186" s="25" t="n"/>
      <c r="L186" s="26" t="n"/>
      <c r="M186" s="25" t="n"/>
    </row>
    <row r="187">
      <c r="A187" s="23" t="n"/>
      <c r="B187" s="24" t="n"/>
      <c r="C187" s="25" t="n"/>
      <c r="D187" s="25" t="n"/>
      <c r="E187" s="25" t="n"/>
      <c r="F187" s="25" t="n"/>
      <c r="G187" s="24" t="n"/>
      <c r="H187">
        <f>IF(OR(B187="",G187=""),"",ROUND((G187-B187)*1440,0))</f>
        <v/>
      </c>
      <c r="I187">
        <f>IF(H187="","",IF(H187&lt;=Dashboard!$B$6,"Sim","Não"))</f>
        <v/>
      </c>
      <c r="J187" s="25" t="n"/>
      <c r="K187" s="25" t="n"/>
      <c r="L187" s="26" t="n"/>
      <c r="M187" s="25" t="n"/>
    </row>
    <row r="188">
      <c r="A188" s="23" t="n"/>
      <c r="B188" s="24" t="n"/>
      <c r="C188" s="25" t="n"/>
      <c r="D188" s="25" t="n"/>
      <c r="E188" s="25" t="n"/>
      <c r="F188" s="25" t="n"/>
      <c r="G188" s="24" t="n"/>
      <c r="H188">
        <f>IF(OR(B188="",G188=""),"",ROUND((G188-B188)*1440,0))</f>
        <v/>
      </c>
      <c r="I188">
        <f>IF(H188="","",IF(H188&lt;=Dashboard!$B$6,"Sim","Não"))</f>
        <v/>
      </c>
      <c r="J188" s="25" t="n"/>
      <c r="K188" s="25" t="n"/>
      <c r="L188" s="26" t="n"/>
      <c r="M188" s="25" t="n"/>
    </row>
    <row r="189">
      <c r="A189" s="23" t="n"/>
      <c r="B189" s="24" t="n"/>
      <c r="C189" s="25" t="n"/>
      <c r="D189" s="25" t="n"/>
      <c r="E189" s="25" t="n"/>
      <c r="F189" s="25" t="n"/>
      <c r="G189" s="24" t="n"/>
      <c r="H189">
        <f>IF(OR(B189="",G189=""),"",ROUND((G189-B189)*1440,0))</f>
        <v/>
      </c>
      <c r="I189">
        <f>IF(H189="","",IF(H189&lt;=Dashboard!$B$6,"Sim","Não"))</f>
        <v/>
      </c>
      <c r="J189" s="25" t="n"/>
      <c r="K189" s="25" t="n"/>
      <c r="L189" s="26" t="n"/>
      <c r="M189" s="25" t="n"/>
    </row>
    <row r="190">
      <c r="A190" s="23" t="n"/>
      <c r="B190" s="24" t="n"/>
      <c r="C190" s="25" t="n"/>
      <c r="D190" s="25" t="n"/>
      <c r="E190" s="25" t="n"/>
      <c r="F190" s="25" t="n"/>
      <c r="G190" s="24" t="n"/>
      <c r="H190">
        <f>IF(OR(B190="",G190=""),"",ROUND((G190-B190)*1440,0))</f>
        <v/>
      </c>
      <c r="I190">
        <f>IF(H190="","",IF(H190&lt;=Dashboard!$B$6,"Sim","Não"))</f>
        <v/>
      </c>
      <c r="J190" s="25" t="n"/>
      <c r="K190" s="25" t="n"/>
      <c r="L190" s="26" t="n"/>
      <c r="M190" s="25" t="n"/>
    </row>
    <row r="191">
      <c r="A191" s="23" t="n"/>
      <c r="B191" s="24" t="n"/>
      <c r="C191" s="25" t="n"/>
      <c r="D191" s="25" t="n"/>
      <c r="E191" s="25" t="n"/>
      <c r="F191" s="25" t="n"/>
      <c r="G191" s="24" t="n"/>
      <c r="H191">
        <f>IF(OR(B191="",G191=""),"",ROUND((G191-B191)*1440,0))</f>
        <v/>
      </c>
      <c r="I191">
        <f>IF(H191="","",IF(H191&lt;=Dashboard!$B$6,"Sim","Não"))</f>
        <v/>
      </c>
      <c r="J191" s="25" t="n"/>
      <c r="K191" s="25" t="n"/>
      <c r="L191" s="26" t="n"/>
      <c r="M191" s="25" t="n"/>
    </row>
    <row r="192">
      <c r="A192" s="23" t="n"/>
      <c r="B192" s="24" t="n"/>
      <c r="C192" s="25" t="n"/>
      <c r="D192" s="25" t="n"/>
      <c r="E192" s="25" t="n"/>
      <c r="F192" s="25" t="n"/>
      <c r="G192" s="24" t="n"/>
      <c r="H192">
        <f>IF(OR(B192="",G192=""),"",ROUND((G192-B192)*1440,0))</f>
        <v/>
      </c>
      <c r="I192">
        <f>IF(H192="","",IF(H192&lt;=Dashboard!$B$6,"Sim","Não"))</f>
        <v/>
      </c>
      <c r="J192" s="25" t="n"/>
      <c r="K192" s="25" t="n"/>
      <c r="L192" s="26" t="n"/>
      <c r="M192" s="25" t="n"/>
    </row>
    <row r="193">
      <c r="A193" s="23" t="n"/>
      <c r="B193" s="24" t="n"/>
      <c r="C193" s="25" t="n"/>
      <c r="D193" s="25" t="n"/>
      <c r="E193" s="25" t="n"/>
      <c r="F193" s="25" t="n"/>
      <c r="G193" s="24" t="n"/>
      <c r="H193">
        <f>IF(OR(B193="",G193=""),"",ROUND((G193-B193)*1440,0))</f>
        <v/>
      </c>
      <c r="I193">
        <f>IF(H193="","",IF(H193&lt;=Dashboard!$B$6,"Sim","Não"))</f>
        <v/>
      </c>
      <c r="J193" s="25" t="n"/>
      <c r="K193" s="25" t="n"/>
      <c r="L193" s="26" t="n"/>
      <c r="M193" s="25" t="n"/>
    </row>
    <row r="194">
      <c r="A194" s="23" t="n"/>
      <c r="B194" s="24" t="n"/>
      <c r="C194" s="25" t="n"/>
      <c r="D194" s="25" t="n"/>
      <c r="E194" s="25" t="n"/>
      <c r="F194" s="25" t="n"/>
      <c r="G194" s="24" t="n"/>
      <c r="H194">
        <f>IF(OR(B194="",G194=""),"",ROUND((G194-B194)*1440,0))</f>
        <v/>
      </c>
      <c r="I194">
        <f>IF(H194="","",IF(H194&lt;=Dashboard!$B$6,"Sim","Não"))</f>
        <v/>
      </c>
      <c r="J194" s="25" t="n"/>
      <c r="K194" s="25" t="n"/>
      <c r="L194" s="26" t="n"/>
      <c r="M194" s="25" t="n"/>
    </row>
    <row r="195">
      <c r="A195" s="23" t="n"/>
      <c r="B195" s="24" t="n"/>
      <c r="C195" s="25" t="n"/>
      <c r="D195" s="25" t="n"/>
      <c r="E195" s="25" t="n"/>
      <c r="F195" s="25" t="n"/>
      <c r="G195" s="24" t="n"/>
      <c r="H195">
        <f>IF(OR(B195="",G195=""),"",ROUND((G195-B195)*1440,0))</f>
        <v/>
      </c>
      <c r="I195">
        <f>IF(H195="","",IF(H195&lt;=Dashboard!$B$6,"Sim","Não"))</f>
        <v/>
      </c>
      <c r="J195" s="25" t="n"/>
      <c r="K195" s="25" t="n"/>
      <c r="L195" s="26" t="n"/>
      <c r="M195" s="25" t="n"/>
    </row>
    <row r="196">
      <c r="A196" s="23" t="n"/>
      <c r="B196" s="24" t="n"/>
      <c r="C196" s="25" t="n"/>
      <c r="D196" s="25" t="n"/>
      <c r="E196" s="25" t="n"/>
      <c r="F196" s="25" t="n"/>
      <c r="G196" s="24" t="n"/>
      <c r="H196">
        <f>IF(OR(B196="",G196=""),"",ROUND((G196-B196)*1440,0))</f>
        <v/>
      </c>
      <c r="I196">
        <f>IF(H196="","",IF(H196&lt;=Dashboard!$B$6,"Sim","Não"))</f>
        <v/>
      </c>
      <c r="J196" s="25" t="n"/>
      <c r="K196" s="25" t="n"/>
      <c r="L196" s="26" t="n"/>
      <c r="M196" s="25" t="n"/>
    </row>
    <row r="197">
      <c r="A197" s="23" t="n"/>
      <c r="B197" s="24" t="n"/>
      <c r="C197" s="25" t="n"/>
      <c r="D197" s="25" t="n"/>
      <c r="E197" s="25" t="n"/>
      <c r="F197" s="25" t="n"/>
      <c r="G197" s="24" t="n"/>
      <c r="H197">
        <f>IF(OR(B197="",G197=""),"",ROUND((G197-B197)*1440,0))</f>
        <v/>
      </c>
      <c r="I197">
        <f>IF(H197="","",IF(H197&lt;=Dashboard!$B$6,"Sim","Não"))</f>
        <v/>
      </c>
      <c r="J197" s="25" t="n"/>
      <c r="K197" s="25" t="n"/>
      <c r="L197" s="26" t="n"/>
      <c r="M197" s="25" t="n"/>
    </row>
    <row r="198">
      <c r="A198" s="23" t="n"/>
      <c r="B198" s="24" t="n"/>
      <c r="C198" s="25" t="n"/>
      <c r="D198" s="25" t="n"/>
      <c r="E198" s="25" t="n"/>
      <c r="F198" s="25" t="n"/>
      <c r="G198" s="24" t="n"/>
      <c r="H198">
        <f>IF(OR(B198="",G198=""),"",ROUND((G198-B198)*1440,0))</f>
        <v/>
      </c>
      <c r="I198">
        <f>IF(H198="","",IF(H198&lt;=Dashboard!$B$6,"Sim","Não"))</f>
        <v/>
      </c>
      <c r="J198" s="25" t="n"/>
      <c r="K198" s="25" t="n"/>
      <c r="L198" s="26" t="n"/>
      <c r="M198" s="25" t="n"/>
    </row>
    <row r="199">
      <c r="A199" s="23" t="n"/>
      <c r="B199" s="24" t="n"/>
      <c r="C199" s="25" t="n"/>
      <c r="D199" s="25" t="n"/>
      <c r="E199" s="25" t="n"/>
      <c r="F199" s="25" t="n"/>
      <c r="G199" s="24" t="n"/>
      <c r="H199">
        <f>IF(OR(B199="",G199=""),"",ROUND((G199-B199)*1440,0))</f>
        <v/>
      </c>
      <c r="I199">
        <f>IF(H199="","",IF(H199&lt;=Dashboard!$B$6,"Sim","Não"))</f>
        <v/>
      </c>
      <c r="J199" s="25" t="n"/>
      <c r="K199" s="25" t="n"/>
      <c r="L199" s="26" t="n"/>
      <c r="M199" s="25" t="n"/>
    </row>
    <row r="200">
      <c r="A200" s="23" t="n"/>
      <c r="B200" s="24" t="n"/>
      <c r="C200" s="25" t="n"/>
      <c r="D200" s="25" t="n"/>
      <c r="E200" s="25" t="n"/>
      <c r="F200" s="25" t="n"/>
      <c r="G200" s="24" t="n"/>
      <c r="H200">
        <f>IF(OR(B200="",G200=""),"",ROUND((G200-B200)*1440,0))</f>
        <v/>
      </c>
      <c r="I200">
        <f>IF(H200="","",IF(H200&lt;=Dashboard!$B$6,"Sim","Não"))</f>
        <v/>
      </c>
      <c r="J200" s="25" t="n"/>
      <c r="K200" s="25" t="n"/>
      <c r="L200" s="26" t="n"/>
      <c r="M200" s="25" t="n"/>
    </row>
    <row r="201">
      <c r="A201" s="23" t="n"/>
      <c r="B201" s="24" t="n"/>
      <c r="C201" s="25" t="n"/>
      <c r="D201" s="25" t="n"/>
      <c r="E201" s="25" t="n"/>
      <c r="F201" s="25" t="n"/>
      <c r="G201" s="24" t="n"/>
      <c r="H201">
        <f>IF(OR(B201="",G201=""),"",ROUND((G201-B201)*1440,0))</f>
        <v/>
      </c>
      <c r="I201">
        <f>IF(H201="","",IF(H201&lt;=Dashboard!$B$6,"Sim","Não"))</f>
        <v/>
      </c>
      <c r="J201" s="25" t="n"/>
      <c r="K201" s="25" t="n"/>
      <c r="L201" s="26" t="n"/>
      <c r="M201" s="25" t="n"/>
    </row>
    <row r="202">
      <c r="A202" s="23" t="n"/>
      <c r="B202" s="24" t="n"/>
      <c r="C202" s="25" t="n"/>
      <c r="D202" s="25" t="n"/>
      <c r="E202" s="25" t="n"/>
      <c r="F202" s="25" t="n"/>
      <c r="G202" s="24" t="n"/>
      <c r="H202">
        <f>IF(OR(B202="",G202=""),"",ROUND((G202-B202)*1440,0))</f>
        <v/>
      </c>
      <c r="I202">
        <f>IF(H202="","",IF(H202&lt;=Dashboard!$B$6,"Sim","Não"))</f>
        <v/>
      </c>
      <c r="J202" s="25" t="n"/>
      <c r="K202" s="25" t="n"/>
      <c r="L202" s="26" t="n"/>
      <c r="M202" s="25" t="n"/>
    </row>
    <row r="203">
      <c r="A203" s="23" t="n"/>
      <c r="B203" s="24" t="n"/>
      <c r="C203" s="25" t="n"/>
      <c r="D203" s="25" t="n"/>
      <c r="E203" s="25" t="n"/>
      <c r="F203" s="25" t="n"/>
      <c r="G203" s="24" t="n"/>
      <c r="H203">
        <f>IF(OR(B203="",G203=""),"",ROUND((G203-B203)*1440,0))</f>
        <v/>
      </c>
      <c r="I203">
        <f>IF(H203="","",IF(H203&lt;=Dashboard!$B$6,"Sim","Não"))</f>
        <v/>
      </c>
      <c r="J203" s="25" t="n"/>
      <c r="K203" s="25" t="n"/>
      <c r="L203" s="26" t="n"/>
      <c r="M203" s="25" t="n"/>
    </row>
    <row r="204">
      <c r="A204" s="23" t="n"/>
      <c r="B204" s="24" t="n"/>
      <c r="C204" s="25" t="n"/>
      <c r="D204" s="25" t="n"/>
      <c r="E204" s="25" t="n"/>
      <c r="F204" s="25" t="n"/>
      <c r="G204" s="24" t="n"/>
      <c r="H204">
        <f>IF(OR(B204="",G204=""),"",ROUND((G204-B204)*1440,0))</f>
        <v/>
      </c>
      <c r="I204">
        <f>IF(H204="","",IF(H204&lt;=Dashboard!$B$6,"Sim","Não"))</f>
        <v/>
      </c>
      <c r="J204" s="25" t="n"/>
      <c r="K204" s="25" t="n"/>
      <c r="L204" s="26" t="n"/>
      <c r="M204" s="25" t="n"/>
    </row>
    <row r="205">
      <c r="A205" s="23" t="n"/>
      <c r="B205" s="24" t="n"/>
      <c r="C205" s="25" t="n"/>
      <c r="D205" s="25" t="n"/>
      <c r="E205" s="25" t="n"/>
      <c r="F205" s="25" t="n"/>
      <c r="G205" s="24" t="n"/>
      <c r="H205">
        <f>IF(OR(B205="",G205=""),"",ROUND((G205-B205)*1440,0))</f>
        <v/>
      </c>
      <c r="I205">
        <f>IF(H205="","",IF(H205&lt;=Dashboard!$B$6,"Sim","Não"))</f>
        <v/>
      </c>
      <c r="J205" s="25" t="n"/>
      <c r="K205" s="25" t="n"/>
      <c r="L205" s="26" t="n"/>
      <c r="M205" s="25" t="n"/>
    </row>
    <row r="206">
      <c r="A206" s="23" t="n"/>
      <c r="B206" s="24" t="n"/>
      <c r="C206" s="25" t="n"/>
      <c r="D206" s="25" t="n"/>
      <c r="E206" s="25" t="n"/>
      <c r="F206" s="25" t="n"/>
      <c r="G206" s="24" t="n"/>
      <c r="H206">
        <f>IF(OR(B206="",G206=""),"",ROUND((G206-B206)*1440,0))</f>
        <v/>
      </c>
      <c r="I206">
        <f>IF(H206="","",IF(H206&lt;=Dashboard!$B$6,"Sim","Não"))</f>
        <v/>
      </c>
      <c r="J206" s="25" t="n"/>
      <c r="K206" s="25" t="n"/>
      <c r="L206" s="26" t="n"/>
      <c r="M206" s="25" t="n"/>
    </row>
    <row r="207">
      <c r="A207" s="23" t="n"/>
      <c r="B207" s="24" t="n"/>
      <c r="C207" s="25" t="n"/>
      <c r="D207" s="25" t="n"/>
      <c r="E207" s="25" t="n"/>
      <c r="F207" s="25" t="n"/>
      <c r="G207" s="24" t="n"/>
      <c r="H207">
        <f>IF(OR(B207="",G207=""),"",ROUND((G207-B207)*1440,0))</f>
        <v/>
      </c>
      <c r="I207">
        <f>IF(H207="","",IF(H207&lt;=Dashboard!$B$6,"Sim","Não"))</f>
        <v/>
      </c>
      <c r="J207" s="25" t="n"/>
      <c r="K207" s="25" t="n"/>
      <c r="L207" s="26" t="n"/>
      <c r="M207" s="25" t="n"/>
    </row>
    <row r="208">
      <c r="A208" s="23" t="n"/>
      <c r="B208" s="24" t="n"/>
      <c r="C208" s="25" t="n"/>
      <c r="D208" s="25" t="n"/>
      <c r="E208" s="25" t="n"/>
      <c r="F208" s="25" t="n"/>
      <c r="G208" s="24" t="n"/>
      <c r="H208">
        <f>IF(OR(B208="",G208=""),"",ROUND((G208-B208)*1440,0))</f>
        <v/>
      </c>
      <c r="I208">
        <f>IF(H208="","",IF(H208&lt;=Dashboard!$B$6,"Sim","Não"))</f>
        <v/>
      </c>
      <c r="J208" s="25" t="n"/>
      <c r="K208" s="25" t="n"/>
      <c r="L208" s="26" t="n"/>
      <c r="M208" s="25" t="n"/>
    </row>
    <row r="209">
      <c r="A209" s="23" t="n"/>
      <c r="B209" s="24" t="n"/>
      <c r="C209" s="25" t="n"/>
      <c r="D209" s="25" t="n"/>
      <c r="E209" s="25" t="n"/>
      <c r="F209" s="25" t="n"/>
      <c r="G209" s="24" t="n"/>
      <c r="H209">
        <f>IF(OR(B209="",G209=""),"",ROUND((G209-B209)*1440,0))</f>
        <v/>
      </c>
      <c r="I209">
        <f>IF(H209="","",IF(H209&lt;=Dashboard!$B$6,"Sim","Não"))</f>
        <v/>
      </c>
      <c r="J209" s="25" t="n"/>
      <c r="K209" s="25" t="n"/>
      <c r="L209" s="26" t="n"/>
      <c r="M209" s="25" t="n"/>
    </row>
    <row r="210">
      <c r="A210" s="23" t="n"/>
      <c r="B210" s="24" t="n"/>
      <c r="C210" s="25" t="n"/>
      <c r="D210" s="25" t="n"/>
      <c r="E210" s="25" t="n"/>
      <c r="F210" s="25" t="n"/>
      <c r="G210" s="24" t="n"/>
      <c r="H210">
        <f>IF(OR(B210="",G210=""),"",ROUND((G210-B210)*1440,0))</f>
        <v/>
      </c>
      <c r="I210">
        <f>IF(H210="","",IF(H210&lt;=Dashboard!$B$6,"Sim","Não"))</f>
        <v/>
      </c>
      <c r="J210" s="25" t="n"/>
      <c r="K210" s="25" t="n"/>
      <c r="L210" s="26" t="n"/>
      <c r="M210" s="25" t="n"/>
    </row>
    <row r="211">
      <c r="A211" s="23" t="n"/>
      <c r="B211" s="24" t="n"/>
      <c r="C211" s="25" t="n"/>
      <c r="D211" s="25" t="n"/>
      <c r="E211" s="25" t="n"/>
      <c r="F211" s="25" t="n"/>
      <c r="G211" s="24" t="n"/>
      <c r="H211">
        <f>IF(OR(B211="",G211=""),"",ROUND((G211-B211)*1440,0))</f>
        <v/>
      </c>
      <c r="I211">
        <f>IF(H211="","",IF(H211&lt;=Dashboard!$B$6,"Sim","Não"))</f>
        <v/>
      </c>
      <c r="J211" s="25" t="n"/>
      <c r="K211" s="25" t="n"/>
      <c r="L211" s="26" t="n"/>
      <c r="M211" s="25" t="n"/>
    </row>
    <row r="212">
      <c r="A212" s="23" t="n"/>
      <c r="B212" s="24" t="n"/>
      <c r="C212" s="25" t="n"/>
      <c r="D212" s="25" t="n"/>
      <c r="E212" s="25" t="n"/>
      <c r="F212" s="25" t="n"/>
      <c r="G212" s="24" t="n"/>
      <c r="H212">
        <f>IF(OR(B212="",G212=""),"",ROUND((G212-B212)*1440,0))</f>
        <v/>
      </c>
      <c r="I212">
        <f>IF(H212="","",IF(H212&lt;=Dashboard!$B$6,"Sim","Não"))</f>
        <v/>
      </c>
      <c r="J212" s="25" t="n"/>
      <c r="K212" s="25" t="n"/>
      <c r="L212" s="26" t="n"/>
      <c r="M212" s="25" t="n"/>
    </row>
    <row r="213">
      <c r="A213" s="23" t="n"/>
      <c r="B213" s="24" t="n"/>
      <c r="C213" s="25" t="n"/>
      <c r="D213" s="25" t="n"/>
      <c r="E213" s="25" t="n"/>
      <c r="F213" s="25" t="n"/>
      <c r="G213" s="24" t="n"/>
      <c r="H213">
        <f>IF(OR(B213="",G213=""),"",ROUND((G213-B213)*1440,0))</f>
        <v/>
      </c>
      <c r="I213">
        <f>IF(H213="","",IF(H213&lt;=Dashboard!$B$6,"Sim","Não"))</f>
        <v/>
      </c>
      <c r="J213" s="25" t="n"/>
      <c r="K213" s="25" t="n"/>
      <c r="L213" s="26" t="n"/>
      <c r="M213" s="25" t="n"/>
    </row>
    <row r="214">
      <c r="A214" s="23" t="n"/>
      <c r="B214" s="24" t="n"/>
      <c r="C214" s="25" t="n"/>
      <c r="D214" s="25" t="n"/>
      <c r="E214" s="25" t="n"/>
      <c r="F214" s="25" t="n"/>
      <c r="G214" s="24" t="n"/>
      <c r="H214">
        <f>IF(OR(B214="",G214=""),"",ROUND((G214-B214)*1440,0))</f>
        <v/>
      </c>
      <c r="I214">
        <f>IF(H214="","",IF(H214&lt;=Dashboard!$B$6,"Sim","Não"))</f>
        <v/>
      </c>
      <c r="J214" s="25" t="n"/>
      <c r="K214" s="25" t="n"/>
      <c r="L214" s="26" t="n"/>
      <c r="M214" s="25" t="n"/>
    </row>
    <row r="215">
      <c r="A215" s="23" t="n"/>
      <c r="B215" s="24" t="n"/>
      <c r="C215" s="25" t="n"/>
      <c r="D215" s="25" t="n"/>
      <c r="E215" s="25" t="n"/>
      <c r="F215" s="25" t="n"/>
      <c r="G215" s="24" t="n"/>
      <c r="H215">
        <f>IF(OR(B215="",G215=""),"",ROUND((G215-B215)*1440,0))</f>
        <v/>
      </c>
      <c r="I215">
        <f>IF(H215="","",IF(H215&lt;=Dashboard!$B$6,"Sim","Não"))</f>
        <v/>
      </c>
      <c r="J215" s="25" t="n"/>
      <c r="K215" s="25" t="n"/>
      <c r="L215" s="26" t="n"/>
      <c r="M215" s="25" t="n"/>
    </row>
    <row r="216">
      <c r="A216" s="23" t="n"/>
      <c r="B216" s="24" t="n"/>
      <c r="C216" s="25" t="n"/>
      <c r="D216" s="25" t="n"/>
      <c r="E216" s="25" t="n"/>
      <c r="F216" s="25" t="n"/>
      <c r="G216" s="24" t="n"/>
      <c r="H216">
        <f>IF(OR(B216="",G216=""),"",ROUND((G216-B216)*1440,0))</f>
        <v/>
      </c>
      <c r="I216">
        <f>IF(H216="","",IF(H216&lt;=Dashboard!$B$6,"Sim","Não"))</f>
        <v/>
      </c>
      <c r="J216" s="25" t="n"/>
      <c r="K216" s="25" t="n"/>
      <c r="L216" s="26" t="n"/>
      <c r="M216" s="25" t="n"/>
    </row>
    <row r="217">
      <c r="A217" s="23" t="n"/>
      <c r="B217" s="24" t="n"/>
      <c r="C217" s="25" t="n"/>
      <c r="D217" s="25" t="n"/>
      <c r="E217" s="25" t="n"/>
      <c r="F217" s="25" t="n"/>
      <c r="G217" s="24" t="n"/>
      <c r="H217">
        <f>IF(OR(B217="",G217=""),"",ROUND((G217-B217)*1440,0))</f>
        <v/>
      </c>
      <c r="I217">
        <f>IF(H217="","",IF(H217&lt;=Dashboard!$B$6,"Sim","Não"))</f>
        <v/>
      </c>
      <c r="J217" s="25" t="n"/>
      <c r="K217" s="25" t="n"/>
      <c r="L217" s="26" t="n"/>
      <c r="M217" s="25" t="n"/>
    </row>
    <row r="218">
      <c r="A218" s="23" t="n"/>
      <c r="B218" s="24" t="n"/>
      <c r="C218" s="25" t="n"/>
      <c r="D218" s="25" t="n"/>
      <c r="E218" s="25" t="n"/>
      <c r="F218" s="25" t="n"/>
      <c r="G218" s="24" t="n"/>
      <c r="H218">
        <f>IF(OR(B218="",G218=""),"",ROUND((G218-B218)*1440,0))</f>
        <v/>
      </c>
      <c r="I218">
        <f>IF(H218="","",IF(H218&lt;=Dashboard!$B$6,"Sim","Não"))</f>
        <v/>
      </c>
      <c r="J218" s="25" t="n"/>
      <c r="K218" s="25" t="n"/>
      <c r="L218" s="26" t="n"/>
      <c r="M218" s="25" t="n"/>
    </row>
    <row r="219">
      <c r="A219" s="23" t="n"/>
      <c r="B219" s="24" t="n"/>
      <c r="C219" s="25" t="n"/>
      <c r="D219" s="25" t="n"/>
      <c r="E219" s="25" t="n"/>
      <c r="F219" s="25" t="n"/>
      <c r="G219" s="24" t="n"/>
      <c r="H219">
        <f>IF(OR(B219="",G219=""),"",ROUND((G219-B219)*1440,0))</f>
        <v/>
      </c>
      <c r="I219">
        <f>IF(H219="","",IF(H219&lt;=Dashboard!$B$6,"Sim","Não"))</f>
        <v/>
      </c>
      <c r="J219" s="25" t="n"/>
      <c r="K219" s="25" t="n"/>
      <c r="L219" s="26" t="n"/>
      <c r="M219" s="25" t="n"/>
    </row>
    <row r="220">
      <c r="A220" s="23" t="n"/>
      <c r="B220" s="24" t="n"/>
      <c r="C220" s="25" t="n"/>
      <c r="D220" s="25" t="n"/>
      <c r="E220" s="25" t="n"/>
      <c r="F220" s="25" t="n"/>
      <c r="G220" s="24" t="n"/>
      <c r="H220">
        <f>IF(OR(B220="",G220=""),"",ROUND((G220-B220)*1440,0))</f>
        <v/>
      </c>
      <c r="I220">
        <f>IF(H220="","",IF(H220&lt;=Dashboard!$B$6,"Sim","Não"))</f>
        <v/>
      </c>
      <c r="J220" s="25" t="n"/>
      <c r="K220" s="25" t="n"/>
      <c r="L220" s="26" t="n"/>
      <c r="M220" s="25" t="n"/>
    </row>
    <row r="221">
      <c r="A221" s="23" t="n"/>
      <c r="B221" s="24" t="n"/>
      <c r="C221" s="25" t="n"/>
      <c r="D221" s="25" t="n"/>
      <c r="E221" s="25" t="n"/>
      <c r="F221" s="25" t="n"/>
      <c r="G221" s="24" t="n"/>
      <c r="H221">
        <f>IF(OR(B221="",G221=""),"",ROUND((G221-B221)*1440,0))</f>
        <v/>
      </c>
      <c r="I221">
        <f>IF(H221="","",IF(H221&lt;=Dashboard!$B$6,"Sim","Não"))</f>
        <v/>
      </c>
      <c r="J221" s="25" t="n"/>
      <c r="K221" s="25" t="n"/>
      <c r="L221" s="26" t="n"/>
      <c r="M221" s="25" t="n"/>
    </row>
    <row r="222">
      <c r="A222" s="23" t="n"/>
      <c r="B222" s="24" t="n"/>
      <c r="C222" s="25" t="n"/>
      <c r="D222" s="25" t="n"/>
      <c r="E222" s="25" t="n"/>
      <c r="F222" s="25" t="n"/>
      <c r="G222" s="24" t="n"/>
      <c r="H222">
        <f>IF(OR(B222="",G222=""),"",ROUND((G222-B222)*1440,0))</f>
        <v/>
      </c>
      <c r="I222">
        <f>IF(H222="","",IF(H222&lt;=Dashboard!$B$6,"Sim","Não"))</f>
        <v/>
      </c>
      <c r="J222" s="25" t="n"/>
      <c r="K222" s="25" t="n"/>
      <c r="L222" s="26" t="n"/>
      <c r="M222" s="25" t="n"/>
    </row>
    <row r="223">
      <c r="A223" s="23" t="n"/>
      <c r="B223" s="24" t="n"/>
      <c r="C223" s="25" t="n"/>
      <c r="D223" s="25" t="n"/>
      <c r="E223" s="25" t="n"/>
      <c r="F223" s="25" t="n"/>
      <c r="G223" s="24" t="n"/>
      <c r="H223">
        <f>IF(OR(B223="",G223=""),"",ROUND((G223-B223)*1440,0))</f>
        <v/>
      </c>
      <c r="I223">
        <f>IF(H223="","",IF(H223&lt;=Dashboard!$B$6,"Sim","Não"))</f>
        <v/>
      </c>
      <c r="J223" s="25" t="n"/>
      <c r="K223" s="25" t="n"/>
      <c r="L223" s="26" t="n"/>
      <c r="M223" s="25" t="n"/>
    </row>
    <row r="224">
      <c r="A224" s="23" t="n"/>
      <c r="B224" s="24" t="n"/>
      <c r="C224" s="25" t="n"/>
      <c r="D224" s="25" t="n"/>
      <c r="E224" s="25" t="n"/>
      <c r="F224" s="25" t="n"/>
      <c r="G224" s="24" t="n"/>
      <c r="H224">
        <f>IF(OR(B224="",G224=""),"",ROUND((G224-B224)*1440,0))</f>
        <v/>
      </c>
      <c r="I224">
        <f>IF(H224="","",IF(H224&lt;=Dashboard!$B$6,"Sim","Não"))</f>
        <v/>
      </c>
      <c r="J224" s="25" t="n"/>
      <c r="K224" s="25" t="n"/>
      <c r="L224" s="26" t="n"/>
      <c r="M224" s="25" t="n"/>
    </row>
    <row r="225">
      <c r="A225" s="23" t="n"/>
      <c r="B225" s="24" t="n"/>
      <c r="C225" s="25" t="n"/>
      <c r="D225" s="25" t="n"/>
      <c r="E225" s="25" t="n"/>
      <c r="F225" s="25" t="n"/>
      <c r="G225" s="24" t="n"/>
      <c r="H225">
        <f>IF(OR(B225="",G225=""),"",ROUND((G225-B225)*1440,0))</f>
        <v/>
      </c>
      <c r="I225">
        <f>IF(H225="","",IF(H225&lt;=Dashboard!$B$6,"Sim","Não"))</f>
        <v/>
      </c>
      <c r="J225" s="25" t="n"/>
      <c r="K225" s="25" t="n"/>
      <c r="L225" s="26" t="n"/>
      <c r="M225" s="25" t="n"/>
    </row>
    <row r="226">
      <c r="A226" s="23" t="n"/>
      <c r="B226" s="24" t="n"/>
      <c r="C226" s="25" t="n"/>
      <c r="D226" s="25" t="n"/>
      <c r="E226" s="25" t="n"/>
      <c r="F226" s="25" t="n"/>
      <c r="G226" s="24" t="n"/>
      <c r="H226">
        <f>IF(OR(B226="",G226=""),"",ROUND((G226-B226)*1440,0))</f>
        <v/>
      </c>
      <c r="I226">
        <f>IF(H226="","",IF(H226&lt;=Dashboard!$B$6,"Sim","Não"))</f>
        <v/>
      </c>
      <c r="J226" s="25" t="n"/>
      <c r="K226" s="25" t="n"/>
      <c r="L226" s="26" t="n"/>
      <c r="M226" s="25" t="n"/>
    </row>
    <row r="227">
      <c r="A227" s="23" t="n"/>
      <c r="B227" s="24" t="n"/>
      <c r="C227" s="25" t="n"/>
      <c r="D227" s="25" t="n"/>
      <c r="E227" s="25" t="n"/>
      <c r="F227" s="25" t="n"/>
      <c r="G227" s="24" t="n"/>
      <c r="H227">
        <f>IF(OR(B227="",G227=""),"",ROUND((G227-B227)*1440,0))</f>
        <v/>
      </c>
      <c r="I227">
        <f>IF(H227="","",IF(H227&lt;=Dashboard!$B$6,"Sim","Não"))</f>
        <v/>
      </c>
      <c r="J227" s="25" t="n"/>
      <c r="K227" s="25" t="n"/>
      <c r="L227" s="26" t="n"/>
      <c r="M227" s="25" t="n"/>
    </row>
    <row r="228">
      <c r="A228" s="23" t="n"/>
      <c r="B228" s="24" t="n"/>
      <c r="C228" s="25" t="n"/>
      <c r="D228" s="25" t="n"/>
      <c r="E228" s="25" t="n"/>
      <c r="F228" s="25" t="n"/>
      <c r="G228" s="24" t="n"/>
      <c r="H228">
        <f>IF(OR(B228="",G228=""),"",ROUND((G228-B228)*1440,0))</f>
        <v/>
      </c>
      <c r="I228">
        <f>IF(H228="","",IF(H228&lt;=Dashboard!$B$6,"Sim","Não"))</f>
        <v/>
      </c>
      <c r="J228" s="25" t="n"/>
      <c r="K228" s="25" t="n"/>
      <c r="L228" s="26" t="n"/>
      <c r="M228" s="25" t="n"/>
    </row>
    <row r="229">
      <c r="A229" s="23" t="n"/>
      <c r="B229" s="24" t="n"/>
      <c r="C229" s="25" t="n"/>
      <c r="D229" s="25" t="n"/>
      <c r="E229" s="25" t="n"/>
      <c r="F229" s="25" t="n"/>
      <c r="G229" s="24" t="n"/>
      <c r="H229">
        <f>IF(OR(B229="",G229=""),"",ROUND((G229-B229)*1440,0))</f>
        <v/>
      </c>
      <c r="I229">
        <f>IF(H229="","",IF(H229&lt;=Dashboard!$B$6,"Sim","Não"))</f>
        <v/>
      </c>
      <c r="J229" s="25" t="n"/>
      <c r="K229" s="25" t="n"/>
      <c r="L229" s="26" t="n"/>
      <c r="M229" s="25" t="n"/>
    </row>
    <row r="230">
      <c r="A230" s="23" t="n"/>
      <c r="B230" s="24" t="n"/>
      <c r="C230" s="25" t="n"/>
      <c r="D230" s="25" t="n"/>
      <c r="E230" s="25" t="n"/>
      <c r="F230" s="25" t="n"/>
      <c r="G230" s="24" t="n"/>
      <c r="H230">
        <f>IF(OR(B230="",G230=""),"",ROUND((G230-B230)*1440,0))</f>
        <v/>
      </c>
      <c r="I230">
        <f>IF(H230="","",IF(H230&lt;=Dashboard!$B$6,"Sim","Não"))</f>
        <v/>
      </c>
      <c r="J230" s="25" t="n"/>
      <c r="K230" s="25" t="n"/>
      <c r="L230" s="26" t="n"/>
      <c r="M230" s="25" t="n"/>
    </row>
    <row r="231">
      <c r="A231" s="23" t="n"/>
      <c r="B231" s="24" t="n"/>
      <c r="C231" s="25" t="n"/>
      <c r="D231" s="25" t="n"/>
      <c r="E231" s="25" t="n"/>
      <c r="F231" s="25" t="n"/>
      <c r="G231" s="24" t="n"/>
      <c r="H231">
        <f>IF(OR(B231="",G231=""),"",ROUND((G231-B231)*1440,0))</f>
        <v/>
      </c>
      <c r="I231">
        <f>IF(H231="","",IF(H231&lt;=Dashboard!$B$6,"Sim","Não"))</f>
        <v/>
      </c>
      <c r="J231" s="25" t="n"/>
      <c r="K231" s="25" t="n"/>
      <c r="L231" s="26" t="n"/>
      <c r="M231" s="25" t="n"/>
    </row>
    <row r="232">
      <c r="A232" s="23" t="n"/>
      <c r="B232" s="24" t="n"/>
      <c r="C232" s="25" t="n"/>
      <c r="D232" s="25" t="n"/>
      <c r="E232" s="25" t="n"/>
      <c r="F232" s="25" t="n"/>
      <c r="G232" s="24" t="n"/>
      <c r="H232">
        <f>IF(OR(B232="",G232=""),"",ROUND((G232-B232)*1440,0))</f>
        <v/>
      </c>
      <c r="I232">
        <f>IF(H232="","",IF(H232&lt;=Dashboard!$B$6,"Sim","Não"))</f>
        <v/>
      </c>
      <c r="J232" s="25" t="n"/>
      <c r="K232" s="25" t="n"/>
      <c r="L232" s="26" t="n"/>
      <c r="M232" s="25" t="n"/>
    </row>
    <row r="233">
      <c r="A233" s="23" t="n"/>
      <c r="B233" s="24" t="n"/>
      <c r="C233" s="25" t="n"/>
      <c r="D233" s="25" t="n"/>
      <c r="E233" s="25" t="n"/>
      <c r="F233" s="25" t="n"/>
      <c r="G233" s="24" t="n"/>
      <c r="H233">
        <f>IF(OR(B233="",G233=""),"",ROUND((G233-B233)*1440,0))</f>
        <v/>
      </c>
      <c r="I233">
        <f>IF(H233="","",IF(H233&lt;=Dashboard!$B$6,"Sim","Não"))</f>
        <v/>
      </c>
      <c r="J233" s="25" t="n"/>
      <c r="K233" s="25" t="n"/>
      <c r="L233" s="26" t="n"/>
      <c r="M233" s="25" t="n"/>
    </row>
    <row r="234">
      <c r="A234" s="23" t="n"/>
      <c r="B234" s="24" t="n"/>
      <c r="C234" s="25" t="n"/>
      <c r="D234" s="25" t="n"/>
      <c r="E234" s="25" t="n"/>
      <c r="F234" s="25" t="n"/>
      <c r="G234" s="24" t="n"/>
      <c r="H234">
        <f>IF(OR(B234="",G234=""),"",ROUND((G234-B234)*1440,0))</f>
        <v/>
      </c>
      <c r="I234">
        <f>IF(H234="","",IF(H234&lt;=Dashboard!$B$6,"Sim","Não"))</f>
        <v/>
      </c>
      <c r="J234" s="25" t="n"/>
      <c r="K234" s="25" t="n"/>
      <c r="L234" s="26" t="n"/>
      <c r="M234" s="25" t="n"/>
    </row>
    <row r="235">
      <c r="A235" s="23" t="n"/>
      <c r="B235" s="24" t="n"/>
      <c r="C235" s="25" t="n"/>
      <c r="D235" s="25" t="n"/>
      <c r="E235" s="25" t="n"/>
      <c r="F235" s="25" t="n"/>
      <c r="G235" s="24" t="n"/>
      <c r="H235">
        <f>IF(OR(B235="",G235=""),"",ROUND((G235-B235)*1440,0))</f>
        <v/>
      </c>
      <c r="I235">
        <f>IF(H235="","",IF(H235&lt;=Dashboard!$B$6,"Sim","Não"))</f>
        <v/>
      </c>
      <c r="J235" s="25" t="n"/>
      <c r="K235" s="25" t="n"/>
      <c r="L235" s="26" t="n"/>
      <c r="M235" s="25" t="n"/>
    </row>
    <row r="236">
      <c r="A236" s="23" t="n"/>
      <c r="B236" s="24" t="n"/>
      <c r="C236" s="25" t="n"/>
      <c r="D236" s="25" t="n"/>
      <c r="E236" s="25" t="n"/>
      <c r="F236" s="25" t="n"/>
      <c r="G236" s="24" t="n"/>
      <c r="H236">
        <f>IF(OR(B236="",G236=""),"",ROUND((G236-B236)*1440,0))</f>
        <v/>
      </c>
      <c r="I236">
        <f>IF(H236="","",IF(H236&lt;=Dashboard!$B$6,"Sim","Não"))</f>
        <v/>
      </c>
      <c r="J236" s="25" t="n"/>
      <c r="K236" s="25" t="n"/>
      <c r="L236" s="26" t="n"/>
      <c r="M236" s="25" t="n"/>
    </row>
    <row r="237">
      <c r="A237" s="23" t="n"/>
      <c r="B237" s="24" t="n"/>
      <c r="C237" s="25" t="n"/>
      <c r="D237" s="25" t="n"/>
      <c r="E237" s="25" t="n"/>
      <c r="F237" s="25" t="n"/>
      <c r="G237" s="24" t="n"/>
      <c r="H237">
        <f>IF(OR(B237="",G237=""),"",ROUND((G237-B237)*1440,0))</f>
        <v/>
      </c>
      <c r="I237">
        <f>IF(H237="","",IF(H237&lt;=Dashboard!$B$6,"Sim","Não"))</f>
        <v/>
      </c>
      <c r="J237" s="25" t="n"/>
      <c r="K237" s="25" t="n"/>
      <c r="L237" s="26" t="n"/>
      <c r="M237" s="25" t="n"/>
    </row>
    <row r="238">
      <c r="A238" s="23" t="n"/>
      <c r="B238" s="24" t="n"/>
      <c r="C238" s="25" t="n"/>
      <c r="D238" s="25" t="n"/>
      <c r="E238" s="25" t="n"/>
      <c r="F238" s="25" t="n"/>
      <c r="G238" s="24" t="n"/>
      <c r="H238">
        <f>IF(OR(B238="",G238=""),"",ROUND((G238-B238)*1440,0))</f>
        <v/>
      </c>
      <c r="I238">
        <f>IF(H238="","",IF(H238&lt;=Dashboard!$B$6,"Sim","Não"))</f>
        <v/>
      </c>
      <c r="J238" s="25" t="n"/>
      <c r="K238" s="25" t="n"/>
      <c r="L238" s="26" t="n"/>
      <c r="M238" s="25" t="n"/>
    </row>
    <row r="239">
      <c r="A239" s="23" t="n"/>
      <c r="B239" s="24" t="n"/>
      <c r="C239" s="25" t="n"/>
      <c r="D239" s="25" t="n"/>
      <c r="E239" s="25" t="n"/>
      <c r="F239" s="25" t="n"/>
      <c r="G239" s="24" t="n"/>
      <c r="H239">
        <f>IF(OR(B239="",G239=""),"",ROUND((G239-B239)*1440,0))</f>
        <v/>
      </c>
      <c r="I239">
        <f>IF(H239="","",IF(H239&lt;=Dashboard!$B$6,"Sim","Não"))</f>
        <v/>
      </c>
      <c r="J239" s="25" t="n"/>
      <c r="K239" s="25" t="n"/>
      <c r="L239" s="26" t="n"/>
      <c r="M239" s="25" t="n"/>
    </row>
    <row r="240">
      <c r="A240" s="23" t="n"/>
      <c r="B240" s="24" t="n"/>
      <c r="C240" s="25" t="n"/>
      <c r="D240" s="25" t="n"/>
      <c r="E240" s="25" t="n"/>
      <c r="F240" s="25" t="n"/>
      <c r="G240" s="24" t="n"/>
      <c r="H240">
        <f>IF(OR(B240="",G240=""),"",ROUND((G240-B240)*1440,0))</f>
        <v/>
      </c>
      <c r="I240">
        <f>IF(H240="","",IF(H240&lt;=Dashboard!$B$6,"Sim","Não"))</f>
        <v/>
      </c>
      <c r="J240" s="25" t="n"/>
      <c r="K240" s="25" t="n"/>
      <c r="L240" s="26" t="n"/>
      <c r="M240" s="25" t="n"/>
    </row>
    <row r="241">
      <c r="A241" s="23" t="n"/>
      <c r="B241" s="24" t="n"/>
      <c r="C241" s="25" t="n"/>
      <c r="D241" s="25" t="n"/>
      <c r="E241" s="25" t="n"/>
      <c r="F241" s="25" t="n"/>
      <c r="G241" s="24" t="n"/>
      <c r="H241">
        <f>IF(OR(B241="",G241=""),"",ROUND((G241-B241)*1440,0))</f>
        <v/>
      </c>
      <c r="I241">
        <f>IF(H241="","",IF(H241&lt;=Dashboard!$B$6,"Sim","Não"))</f>
        <v/>
      </c>
      <c r="J241" s="25" t="n"/>
      <c r="K241" s="25" t="n"/>
      <c r="L241" s="26" t="n"/>
      <c r="M241" s="25" t="n"/>
    </row>
    <row r="242">
      <c r="A242" s="23" t="n"/>
      <c r="B242" s="24" t="n"/>
      <c r="C242" s="25" t="n"/>
      <c r="D242" s="25" t="n"/>
      <c r="E242" s="25" t="n"/>
      <c r="F242" s="25" t="n"/>
      <c r="G242" s="24" t="n"/>
      <c r="H242">
        <f>IF(OR(B242="",G242=""),"",ROUND((G242-B242)*1440,0))</f>
        <v/>
      </c>
      <c r="I242">
        <f>IF(H242="","",IF(H242&lt;=Dashboard!$B$6,"Sim","Não"))</f>
        <v/>
      </c>
      <c r="J242" s="25" t="n"/>
      <c r="K242" s="25" t="n"/>
      <c r="L242" s="26" t="n"/>
      <c r="M242" s="25" t="n"/>
    </row>
    <row r="243">
      <c r="A243" s="23" t="n"/>
      <c r="B243" s="24" t="n"/>
      <c r="C243" s="25" t="n"/>
      <c r="D243" s="25" t="n"/>
      <c r="E243" s="25" t="n"/>
      <c r="F243" s="25" t="n"/>
      <c r="G243" s="24" t="n"/>
      <c r="H243">
        <f>IF(OR(B243="",G243=""),"",ROUND((G243-B243)*1440,0))</f>
        <v/>
      </c>
      <c r="I243">
        <f>IF(H243="","",IF(H243&lt;=Dashboard!$B$6,"Sim","Não"))</f>
        <v/>
      </c>
      <c r="J243" s="25" t="n"/>
      <c r="K243" s="25" t="n"/>
      <c r="L243" s="26" t="n"/>
      <c r="M243" s="25" t="n"/>
    </row>
    <row r="244">
      <c r="A244" s="23" t="n"/>
      <c r="B244" s="24" t="n"/>
      <c r="C244" s="25" t="n"/>
      <c r="D244" s="25" t="n"/>
      <c r="E244" s="25" t="n"/>
      <c r="F244" s="25" t="n"/>
      <c r="G244" s="24" t="n"/>
      <c r="H244">
        <f>IF(OR(B244="",G244=""),"",ROUND((G244-B244)*1440,0))</f>
        <v/>
      </c>
      <c r="I244">
        <f>IF(H244="","",IF(H244&lt;=Dashboard!$B$6,"Sim","Não"))</f>
        <v/>
      </c>
      <c r="J244" s="25" t="n"/>
      <c r="K244" s="25" t="n"/>
      <c r="L244" s="26" t="n"/>
      <c r="M244" s="25" t="n"/>
    </row>
    <row r="245">
      <c r="A245" s="23" t="n"/>
      <c r="B245" s="24" t="n"/>
      <c r="C245" s="25" t="n"/>
      <c r="D245" s="25" t="n"/>
      <c r="E245" s="25" t="n"/>
      <c r="F245" s="25" t="n"/>
      <c r="G245" s="24" t="n"/>
      <c r="H245">
        <f>IF(OR(B245="",G245=""),"",ROUND((G245-B245)*1440,0))</f>
        <v/>
      </c>
      <c r="I245">
        <f>IF(H245="","",IF(H245&lt;=Dashboard!$B$6,"Sim","Não"))</f>
        <v/>
      </c>
      <c r="J245" s="25" t="n"/>
      <c r="K245" s="25" t="n"/>
      <c r="L245" s="26" t="n"/>
      <c r="M245" s="25" t="n"/>
    </row>
    <row r="246">
      <c r="A246" s="23" t="n"/>
      <c r="B246" s="24" t="n"/>
      <c r="C246" s="25" t="n"/>
      <c r="D246" s="25" t="n"/>
      <c r="E246" s="25" t="n"/>
      <c r="F246" s="25" t="n"/>
      <c r="G246" s="24" t="n"/>
      <c r="H246">
        <f>IF(OR(B246="",G246=""),"",ROUND((G246-B246)*1440,0))</f>
        <v/>
      </c>
      <c r="I246">
        <f>IF(H246="","",IF(H246&lt;=Dashboard!$B$6,"Sim","Não"))</f>
        <v/>
      </c>
      <c r="J246" s="25" t="n"/>
      <c r="K246" s="25" t="n"/>
      <c r="L246" s="26" t="n"/>
      <c r="M246" s="25" t="n"/>
    </row>
    <row r="247">
      <c r="A247" s="23" t="n"/>
      <c r="B247" s="24" t="n"/>
      <c r="C247" s="25" t="n"/>
      <c r="D247" s="25" t="n"/>
      <c r="E247" s="25" t="n"/>
      <c r="F247" s="25" t="n"/>
      <c r="G247" s="24" t="n"/>
      <c r="H247">
        <f>IF(OR(B247="",G247=""),"",ROUND((G247-B247)*1440,0))</f>
        <v/>
      </c>
      <c r="I247">
        <f>IF(H247="","",IF(H247&lt;=Dashboard!$B$6,"Sim","Não"))</f>
        <v/>
      </c>
      <c r="J247" s="25" t="n"/>
      <c r="K247" s="25" t="n"/>
      <c r="L247" s="26" t="n"/>
      <c r="M247" s="25" t="n"/>
    </row>
    <row r="248">
      <c r="A248" s="23" t="n"/>
      <c r="B248" s="24" t="n"/>
      <c r="C248" s="25" t="n"/>
      <c r="D248" s="25" t="n"/>
      <c r="E248" s="25" t="n"/>
      <c r="F248" s="25" t="n"/>
      <c r="G248" s="24" t="n"/>
      <c r="H248">
        <f>IF(OR(B248="",G248=""),"",ROUND((G248-B248)*1440,0))</f>
        <v/>
      </c>
      <c r="I248">
        <f>IF(H248="","",IF(H248&lt;=Dashboard!$B$6,"Sim","Não"))</f>
        <v/>
      </c>
      <c r="J248" s="25" t="n"/>
      <c r="K248" s="25" t="n"/>
      <c r="L248" s="26" t="n"/>
      <c r="M248" s="25" t="n"/>
    </row>
    <row r="249">
      <c r="A249" s="23" t="n"/>
      <c r="B249" s="24" t="n"/>
      <c r="C249" s="25" t="n"/>
      <c r="D249" s="25" t="n"/>
      <c r="E249" s="25" t="n"/>
      <c r="F249" s="25" t="n"/>
      <c r="G249" s="24" t="n"/>
      <c r="H249">
        <f>IF(OR(B249="",G249=""),"",ROUND((G249-B249)*1440,0))</f>
        <v/>
      </c>
      <c r="I249">
        <f>IF(H249="","",IF(H249&lt;=Dashboard!$B$6,"Sim","Não"))</f>
        <v/>
      </c>
      <c r="J249" s="25" t="n"/>
      <c r="K249" s="25" t="n"/>
      <c r="L249" s="26" t="n"/>
      <c r="M249" s="25" t="n"/>
    </row>
    <row r="250">
      <c r="A250" s="23" t="n"/>
      <c r="B250" s="24" t="n"/>
      <c r="C250" s="25" t="n"/>
      <c r="D250" s="25" t="n"/>
      <c r="E250" s="25" t="n"/>
      <c r="F250" s="25" t="n"/>
      <c r="G250" s="24" t="n"/>
      <c r="H250">
        <f>IF(OR(B250="",G250=""),"",ROUND((G250-B250)*1440,0))</f>
        <v/>
      </c>
      <c r="I250">
        <f>IF(H250="","",IF(H250&lt;=Dashboard!$B$6,"Sim","Não"))</f>
        <v/>
      </c>
      <c r="J250" s="25" t="n"/>
      <c r="K250" s="25" t="n"/>
      <c r="L250" s="26" t="n"/>
      <c r="M250" s="25" t="n"/>
    </row>
    <row r="251">
      <c r="A251" s="23" t="n"/>
      <c r="B251" s="24" t="n"/>
      <c r="C251" s="25" t="n"/>
      <c r="D251" s="25" t="n"/>
      <c r="E251" s="25" t="n"/>
      <c r="F251" s="25" t="n"/>
      <c r="G251" s="24" t="n"/>
      <c r="H251">
        <f>IF(OR(B251="",G251=""),"",ROUND((G251-B251)*1440,0))</f>
        <v/>
      </c>
      <c r="I251">
        <f>IF(H251="","",IF(H251&lt;=Dashboard!$B$6,"Sim","Não"))</f>
        <v/>
      </c>
      <c r="J251" s="25" t="n"/>
      <c r="K251" s="25" t="n"/>
      <c r="L251" s="26" t="n"/>
      <c r="M251" s="25" t="n"/>
    </row>
    <row r="252">
      <c r="A252" s="23" t="n"/>
      <c r="B252" s="24" t="n"/>
      <c r="C252" s="25" t="n"/>
      <c r="D252" s="25" t="n"/>
      <c r="E252" s="25" t="n"/>
      <c r="F252" s="25" t="n"/>
      <c r="G252" s="24" t="n"/>
      <c r="H252">
        <f>IF(OR(B252="",G252=""),"",ROUND((G252-B252)*1440,0))</f>
        <v/>
      </c>
      <c r="I252">
        <f>IF(H252="","",IF(H252&lt;=Dashboard!$B$6,"Sim","Não"))</f>
        <v/>
      </c>
      <c r="J252" s="25" t="n"/>
      <c r="K252" s="25" t="n"/>
      <c r="L252" s="26" t="n"/>
      <c r="M252" s="25" t="n"/>
    </row>
    <row r="253">
      <c r="A253" s="23" t="n"/>
      <c r="B253" s="24" t="n"/>
      <c r="C253" s="25" t="n"/>
      <c r="D253" s="25" t="n"/>
      <c r="E253" s="25" t="n"/>
      <c r="F253" s="25" t="n"/>
      <c r="G253" s="24" t="n"/>
      <c r="H253">
        <f>IF(OR(B253="",G253=""),"",ROUND((G253-B253)*1440,0))</f>
        <v/>
      </c>
      <c r="I253">
        <f>IF(H253="","",IF(H253&lt;=Dashboard!$B$6,"Sim","Não"))</f>
        <v/>
      </c>
      <c r="J253" s="25" t="n"/>
      <c r="K253" s="25" t="n"/>
      <c r="L253" s="26" t="n"/>
      <c r="M253" s="25" t="n"/>
    </row>
    <row r="254">
      <c r="A254" s="23" t="n"/>
      <c r="B254" s="24" t="n"/>
      <c r="C254" s="25" t="n"/>
      <c r="D254" s="25" t="n"/>
      <c r="E254" s="25" t="n"/>
      <c r="F254" s="25" t="n"/>
      <c r="G254" s="24" t="n"/>
      <c r="H254">
        <f>IF(OR(B254="",G254=""),"",ROUND((G254-B254)*1440,0))</f>
        <v/>
      </c>
      <c r="I254">
        <f>IF(H254="","",IF(H254&lt;=Dashboard!$B$6,"Sim","Não"))</f>
        <v/>
      </c>
      <c r="J254" s="25" t="n"/>
      <c r="K254" s="25" t="n"/>
      <c r="L254" s="26" t="n"/>
      <c r="M254" s="25" t="n"/>
    </row>
    <row r="255">
      <c r="A255" s="23" t="n"/>
      <c r="B255" s="24" t="n"/>
      <c r="C255" s="25" t="n"/>
      <c r="D255" s="25" t="n"/>
      <c r="E255" s="25" t="n"/>
      <c r="F255" s="25" t="n"/>
      <c r="G255" s="24" t="n"/>
      <c r="H255">
        <f>IF(OR(B255="",G255=""),"",ROUND((G255-B255)*1440,0))</f>
        <v/>
      </c>
      <c r="I255">
        <f>IF(H255="","",IF(H255&lt;=Dashboard!$B$6,"Sim","Não"))</f>
        <v/>
      </c>
      <c r="J255" s="25" t="n"/>
      <c r="K255" s="25" t="n"/>
      <c r="L255" s="26" t="n"/>
      <c r="M255" s="25" t="n"/>
    </row>
    <row r="256">
      <c r="A256" s="23" t="n"/>
      <c r="B256" s="24" t="n"/>
      <c r="C256" s="25" t="n"/>
      <c r="D256" s="25" t="n"/>
      <c r="E256" s="25" t="n"/>
      <c r="F256" s="25" t="n"/>
      <c r="G256" s="24" t="n"/>
      <c r="H256">
        <f>IF(OR(B256="",G256=""),"",ROUND((G256-B256)*1440,0))</f>
        <v/>
      </c>
      <c r="I256">
        <f>IF(H256="","",IF(H256&lt;=Dashboard!$B$6,"Sim","Não"))</f>
        <v/>
      </c>
      <c r="J256" s="25" t="n"/>
      <c r="K256" s="25" t="n"/>
      <c r="L256" s="26" t="n"/>
      <c r="M256" s="25" t="n"/>
    </row>
    <row r="257">
      <c r="A257" s="23" t="n"/>
      <c r="B257" s="24" t="n"/>
      <c r="C257" s="25" t="n"/>
      <c r="D257" s="25" t="n"/>
      <c r="E257" s="25" t="n"/>
      <c r="F257" s="25" t="n"/>
      <c r="G257" s="24" t="n"/>
      <c r="H257">
        <f>IF(OR(B257="",G257=""),"",ROUND((G257-B257)*1440,0))</f>
        <v/>
      </c>
      <c r="I257">
        <f>IF(H257="","",IF(H257&lt;=Dashboard!$B$6,"Sim","Não"))</f>
        <v/>
      </c>
      <c r="J257" s="25" t="n"/>
      <c r="K257" s="25" t="n"/>
      <c r="L257" s="26" t="n"/>
      <c r="M257" s="25" t="n"/>
    </row>
    <row r="258">
      <c r="A258" s="23" t="n"/>
      <c r="B258" s="24" t="n"/>
      <c r="C258" s="25" t="n"/>
      <c r="D258" s="25" t="n"/>
      <c r="E258" s="25" t="n"/>
      <c r="F258" s="25" t="n"/>
      <c r="G258" s="24" t="n"/>
      <c r="H258">
        <f>IF(OR(B258="",G258=""),"",ROUND((G258-B258)*1440,0))</f>
        <v/>
      </c>
      <c r="I258">
        <f>IF(H258="","",IF(H258&lt;=Dashboard!$B$6,"Sim","Não"))</f>
        <v/>
      </c>
      <c r="J258" s="25" t="n"/>
      <c r="K258" s="25" t="n"/>
      <c r="L258" s="26" t="n"/>
      <c r="M258" s="25" t="n"/>
    </row>
    <row r="259">
      <c r="A259" s="23" t="n"/>
      <c r="B259" s="24" t="n"/>
      <c r="C259" s="25" t="n"/>
      <c r="D259" s="25" t="n"/>
      <c r="E259" s="25" t="n"/>
      <c r="F259" s="25" t="n"/>
      <c r="G259" s="24" t="n"/>
      <c r="H259">
        <f>IF(OR(B259="",G259=""),"",ROUND((G259-B259)*1440,0))</f>
        <v/>
      </c>
      <c r="I259">
        <f>IF(H259="","",IF(H259&lt;=Dashboard!$B$6,"Sim","Não"))</f>
        <v/>
      </c>
      <c r="J259" s="25" t="n"/>
      <c r="K259" s="25" t="n"/>
      <c r="L259" s="26" t="n"/>
      <c r="M259" s="25" t="n"/>
    </row>
    <row r="260">
      <c r="A260" s="23" t="n"/>
      <c r="B260" s="24" t="n"/>
      <c r="C260" s="25" t="n"/>
      <c r="D260" s="25" t="n"/>
      <c r="E260" s="25" t="n"/>
      <c r="F260" s="25" t="n"/>
      <c r="G260" s="24" t="n"/>
      <c r="H260">
        <f>IF(OR(B260="",G260=""),"",ROUND((G260-B260)*1440,0))</f>
        <v/>
      </c>
      <c r="I260">
        <f>IF(H260="","",IF(H260&lt;=Dashboard!$B$6,"Sim","Não"))</f>
        <v/>
      </c>
      <c r="J260" s="25" t="n"/>
      <c r="K260" s="25" t="n"/>
      <c r="L260" s="26" t="n"/>
      <c r="M260" s="25" t="n"/>
    </row>
    <row r="261">
      <c r="A261" s="23" t="n"/>
      <c r="B261" s="24" t="n"/>
      <c r="C261" s="25" t="n"/>
      <c r="D261" s="25" t="n"/>
      <c r="E261" s="25" t="n"/>
      <c r="F261" s="25" t="n"/>
      <c r="G261" s="24" t="n"/>
      <c r="H261">
        <f>IF(OR(B261="",G261=""),"",ROUND((G261-B261)*1440,0))</f>
        <v/>
      </c>
      <c r="I261">
        <f>IF(H261="","",IF(H261&lt;=Dashboard!$B$6,"Sim","Não"))</f>
        <v/>
      </c>
      <c r="J261" s="25" t="n"/>
      <c r="K261" s="25" t="n"/>
      <c r="L261" s="26" t="n"/>
      <c r="M261" s="25" t="n"/>
    </row>
    <row r="262">
      <c r="A262" s="23" t="n"/>
      <c r="B262" s="24" t="n"/>
      <c r="C262" s="25" t="n"/>
      <c r="D262" s="25" t="n"/>
      <c r="E262" s="25" t="n"/>
      <c r="F262" s="25" t="n"/>
      <c r="G262" s="24" t="n"/>
      <c r="H262">
        <f>IF(OR(B262="",G262=""),"",ROUND((G262-B262)*1440,0))</f>
        <v/>
      </c>
      <c r="I262">
        <f>IF(H262="","",IF(H262&lt;=Dashboard!$B$6,"Sim","Não"))</f>
        <v/>
      </c>
      <c r="J262" s="25" t="n"/>
      <c r="K262" s="25" t="n"/>
      <c r="L262" s="26" t="n"/>
      <c r="M262" s="25" t="n"/>
    </row>
    <row r="263">
      <c r="A263" s="23" t="n"/>
      <c r="B263" s="24" t="n"/>
      <c r="C263" s="25" t="n"/>
      <c r="D263" s="25" t="n"/>
      <c r="E263" s="25" t="n"/>
      <c r="F263" s="25" t="n"/>
      <c r="G263" s="24" t="n"/>
      <c r="H263">
        <f>IF(OR(B263="",G263=""),"",ROUND((G263-B263)*1440,0))</f>
        <v/>
      </c>
      <c r="I263">
        <f>IF(H263="","",IF(H263&lt;=Dashboard!$B$6,"Sim","Não"))</f>
        <v/>
      </c>
      <c r="J263" s="25" t="n"/>
      <c r="K263" s="25" t="n"/>
      <c r="L263" s="26" t="n"/>
      <c r="M263" s="25" t="n"/>
    </row>
    <row r="264">
      <c r="A264" s="23" t="n"/>
      <c r="B264" s="24" t="n"/>
      <c r="C264" s="25" t="n"/>
      <c r="D264" s="25" t="n"/>
      <c r="E264" s="25" t="n"/>
      <c r="F264" s="25" t="n"/>
      <c r="G264" s="24" t="n"/>
      <c r="H264">
        <f>IF(OR(B264="",G264=""),"",ROUND((G264-B264)*1440,0))</f>
        <v/>
      </c>
      <c r="I264">
        <f>IF(H264="","",IF(H264&lt;=Dashboard!$B$6,"Sim","Não"))</f>
        <v/>
      </c>
      <c r="J264" s="25" t="n"/>
      <c r="K264" s="25" t="n"/>
      <c r="L264" s="26" t="n"/>
      <c r="M264" s="25" t="n"/>
    </row>
    <row r="265">
      <c r="A265" s="23" t="n"/>
      <c r="B265" s="24" t="n"/>
      <c r="C265" s="25" t="n"/>
      <c r="D265" s="25" t="n"/>
      <c r="E265" s="25" t="n"/>
      <c r="F265" s="25" t="n"/>
      <c r="G265" s="24" t="n"/>
      <c r="H265">
        <f>IF(OR(B265="",G265=""),"",ROUND((G265-B265)*1440,0))</f>
        <v/>
      </c>
      <c r="I265">
        <f>IF(H265="","",IF(H265&lt;=Dashboard!$B$6,"Sim","Não"))</f>
        <v/>
      </c>
      <c r="J265" s="25" t="n"/>
      <c r="K265" s="25" t="n"/>
      <c r="L265" s="26" t="n"/>
      <c r="M265" s="25" t="n"/>
    </row>
    <row r="266">
      <c r="A266" s="23" t="n"/>
      <c r="B266" s="24" t="n"/>
      <c r="C266" s="25" t="n"/>
      <c r="D266" s="25" t="n"/>
      <c r="E266" s="25" t="n"/>
      <c r="F266" s="25" t="n"/>
      <c r="G266" s="24" t="n"/>
      <c r="H266">
        <f>IF(OR(B266="",G266=""),"",ROUND((G266-B266)*1440,0))</f>
        <v/>
      </c>
      <c r="I266">
        <f>IF(H266="","",IF(H266&lt;=Dashboard!$B$6,"Sim","Não"))</f>
        <v/>
      </c>
      <c r="J266" s="25" t="n"/>
      <c r="K266" s="25" t="n"/>
      <c r="L266" s="26" t="n"/>
      <c r="M266" s="25" t="n"/>
    </row>
    <row r="267">
      <c r="A267" s="23" t="n"/>
      <c r="B267" s="24" t="n"/>
      <c r="C267" s="25" t="n"/>
      <c r="D267" s="25" t="n"/>
      <c r="E267" s="25" t="n"/>
      <c r="F267" s="25" t="n"/>
      <c r="G267" s="24" t="n"/>
      <c r="H267">
        <f>IF(OR(B267="",G267=""),"",ROUND((G267-B267)*1440,0))</f>
        <v/>
      </c>
      <c r="I267">
        <f>IF(H267="","",IF(H267&lt;=Dashboard!$B$6,"Sim","Não"))</f>
        <v/>
      </c>
      <c r="J267" s="25" t="n"/>
      <c r="K267" s="25" t="n"/>
      <c r="L267" s="26" t="n"/>
      <c r="M267" s="25" t="n"/>
    </row>
    <row r="268">
      <c r="A268" s="23" t="n"/>
      <c r="B268" s="24" t="n"/>
      <c r="C268" s="25" t="n"/>
      <c r="D268" s="25" t="n"/>
      <c r="E268" s="25" t="n"/>
      <c r="F268" s="25" t="n"/>
      <c r="G268" s="24" t="n"/>
      <c r="H268">
        <f>IF(OR(B268="",G268=""),"",ROUND((G268-B268)*1440,0))</f>
        <v/>
      </c>
      <c r="I268">
        <f>IF(H268="","",IF(H268&lt;=Dashboard!$B$6,"Sim","Não"))</f>
        <v/>
      </c>
      <c r="J268" s="25" t="n"/>
      <c r="K268" s="25" t="n"/>
      <c r="L268" s="26" t="n"/>
      <c r="M268" s="25" t="n"/>
    </row>
    <row r="269">
      <c r="A269" s="23" t="n"/>
      <c r="B269" s="24" t="n"/>
      <c r="C269" s="25" t="n"/>
      <c r="D269" s="25" t="n"/>
      <c r="E269" s="25" t="n"/>
      <c r="F269" s="25" t="n"/>
      <c r="G269" s="24" t="n"/>
      <c r="H269">
        <f>IF(OR(B269="",G269=""),"",ROUND((G269-B269)*1440,0))</f>
        <v/>
      </c>
      <c r="I269">
        <f>IF(H269="","",IF(H269&lt;=Dashboard!$B$6,"Sim","Não"))</f>
        <v/>
      </c>
      <c r="J269" s="25" t="n"/>
      <c r="K269" s="25" t="n"/>
      <c r="L269" s="26" t="n"/>
      <c r="M269" s="25" t="n"/>
    </row>
    <row r="270">
      <c r="A270" s="23" t="n"/>
      <c r="B270" s="24" t="n"/>
      <c r="C270" s="25" t="n"/>
      <c r="D270" s="25" t="n"/>
      <c r="E270" s="25" t="n"/>
      <c r="F270" s="25" t="n"/>
      <c r="G270" s="24" t="n"/>
      <c r="H270">
        <f>IF(OR(B270="",G270=""),"",ROUND((G270-B270)*1440,0))</f>
        <v/>
      </c>
      <c r="I270">
        <f>IF(H270="","",IF(H270&lt;=Dashboard!$B$6,"Sim","Não"))</f>
        <v/>
      </c>
      <c r="J270" s="25" t="n"/>
      <c r="K270" s="25" t="n"/>
      <c r="L270" s="26" t="n"/>
      <c r="M270" s="25" t="n"/>
    </row>
    <row r="271">
      <c r="A271" s="23" t="n"/>
      <c r="B271" s="24" t="n"/>
      <c r="C271" s="25" t="n"/>
      <c r="D271" s="25" t="n"/>
      <c r="E271" s="25" t="n"/>
      <c r="F271" s="25" t="n"/>
      <c r="G271" s="24" t="n"/>
      <c r="H271">
        <f>IF(OR(B271="",G271=""),"",ROUND((G271-B271)*1440,0))</f>
        <v/>
      </c>
      <c r="I271">
        <f>IF(H271="","",IF(H271&lt;=Dashboard!$B$6,"Sim","Não"))</f>
        <v/>
      </c>
      <c r="J271" s="25" t="n"/>
      <c r="K271" s="25" t="n"/>
      <c r="L271" s="26" t="n"/>
      <c r="M271" s="25" t="n"/>
    </row>
    <row r="272">
      <c r="A272" s="23" t="n"/>
      <c r="B272" s="24" t="n"/>
      <c r="C272" s="25" t="n"/>
      <c r="D272" s="25" t="n"/>
      <c r="E272" s="25" t="n"/>
      <c r="F272" s="25" t="n"/>
      <c r="G272" s="24" t="n"/>
      <c r="H272">
        <f>IF(OR(B272="",G272=""),"",ROUND((G272-B272)*1440,0))</f>
        <v/>
      </c>
      <c r="I272">
        <f>IF(H272="","",IF(H272&lt;=Dashboard!$B$6,"Sim","Não"))</f>
        <v/>
      </c>
      <c r="J272" s="25" t="n"/>
      <c r="K272" s="25" t="n"/>
      <c r="L272" s="26" t="n"/>
      <c r="M272" s="25" t="n"/>
    </row>
    <row r="273">
      <c r="A273" s="23" t="n"/>
      <c r="B273" s="24" t="n"/>
      <c r="C273" s="25" t="n"/>
      <c r="D273" s="25" t="n"/>
      <c r="E273" s="25" t="n"/>
      <c r="F273" s="25" t="n"/>
      <c r="G273" s="24" t="n"/>
      <c r="H273">
        <f>IF(OR(B273="",G273=""),"",ROUND((G273-B273)*1440,0))</f>
        <v/>
      </c>
      <c r="I273">
        <f>IF(H273="","",IF(H273&lt;=Dashboard!$B$6,"Sim","Não"))</f>
        <v/>
      </c>
      <c r="J273" s="25" t="n"/>
      <c r="K273" s="25" t="n"/>
      <c r="L273" s="26" t="n"/>
      <c r="M273" s="25" t="n"/>
    </row>
    <row r="274">
      <c r="A274" s="23" t="n"/>
      <c r="B274" s="24" t="n"/>
      <c r="C274" s="25" t="n"/>
      <c r="D274" s="25" t="n"/>
      <c r="E274" s="25" t="n"/>
      <c r="F274" s="25" t="n"/>
      <c r="G274" s="24" t="n"/>
      <c r="H274">
        <f>IF(OR(B274="",G274=""),"",ROUND((G274-B274)*1440,0))</f>
        <v/>
      </c>
      <c r="I274">
        <f>IF(H274="","",IF(H274&lt;=Dashboard!$B$6,"Sim","Não"))</f>
        <v/>
      </c>
      <c r="J274" s="25" t="n"/>
      <c r="K274" s="25" t="n"/>
      <c r="L274" s="26" t="n"/>
      <c r="M274" s="25" t="n"/>
    </row>
    <row r="275">
      <c r="A275" s="23" t="n"/>
      <c r="B275" s="24" t="n"/>
      <c r="C275" s="25" t="n"/>
      <c r="D275" s="25" t="n"/>
      <c r="E275" s="25" t="n"/>
      <c r="F275" s="25" t="n"/>
      <c r="G275" s="24" t="n"/>
      <c r="H275">
        <f>IF(OR(B275="",G275=""),"",ROUND((G275-B275)*1440,0))</f>
        <v/>
      </c>
      <c r="I275">
        <f>IF(H275="","",IF(H275&lt;=Dashboard!$B$6,"Sim","Não"))</f>
        <v/>
      </c>
      <c r="J275" s="25" t="n"/>
      <c r="K275" s="25" t="n"/>
      <c r="L275" s="26" t="n"/>
      <c r="M275" s="25" t="n"/>
    </row>
    <row r="276">
      <c r="A276" s="23" t="n"/>
      <c r="B276" s="24" t="n"/>
      <c r="C276" s="25" t="n"/>
      <c r="D276" s="25" t="n"/>
      <c r="E276" s="25" t="n"/>
      <c r="F276" s="25" t="n"/>
      <c r="G276" s="24" t="n"/>
      <c r="H276">
        <f>IF(OR(B276="",G276=""),"",ROUND((G276-B276)*1440,0))</f>
        <v/>
      </c>
      <c r="I276">
        <f>IF(H276="","",IF(H276&lt;=Dashboard!$B$6,"Sim","Não"))</f>
        <v/>
      </c>
      <c r="J276" s="25" t="n"/>
      <c r="K276" s="25" t="n"/>
      <c r="L276" s="26" t="n"/>
      <c r="M276" s="25" t="n"/>
    </row>
    <row r="277">
      <c r="A277" s="23" t="n"/>
      <c r="B277" s="24" t="n"/>
      <c r="C277" s="25" t="n"/>
      <c r="D277" s="25" t="n"/>
      <c r="E277" s="25" t="n"/>
      <c r="F277" s="25" t="n"/>
      <c r="G277" s="24" t="n"/>
      <c r="H277">
        <f>IF(OR(B277="",G277=""),"",ROUND((G277-B277)*1440,0))</f>
        <v/>
      </c>
      <c r="I277">
        <f>IF(H277="","",IF(H277&lt;=Dashboard!$B$6,"Sim","Não"))</f>
        <v/>
      </c>
      <c r="J277" s="25" t="n"/>
      <c r="K277" s="25" t="n"/>
      <c r="L277" s="26" t="n"/>
      <c r="M277" s="25" t="n"/>
    </row>
    <row r="278">
      <c r="A278" s="23" t="n"/>
      <c r="B278" s="24" t="n"/>
      <c r="C278" s="25" t="n"/>
      <c r="D278" s="25" t="n"/>
      <c r="E278" s="25" t="n"/>
      <c r="F278" s="25" t="n"/>
      <c r="G278" s="24" t="n"/>
      <c r="H278">
        <f>IF(OR(B278="",G278=""),"",ROUND((G278-B278)*1440,0))</f>
        <v/>
      </c>
      <c r="I278">
        <f>IF(H278="","",IF(H278&lt;=Dashboard!$B$6,"Sim","Não"))</f>
        <v/>
      </c>
      <c r="J278" s="25" t="n"/>
      <c r="K278" s="25" t="n"/>
      <c r="L278" s="26" t="n"/>
      <c r="M278" s="25" t="n"/>
    </row>
    <row r="279">
      <c r="A279" s="23" t="n"/>
      <c r="B279" s="24" t="n"/>
      <c r="C279" s="25" t="n"/>
      <c r="D279" s="25" t="n"/>
      <c r="E279" s="25" t="n"/>
      <c r="F279" s="25" t="n"/>
      <c r="G279" s="24" t="n"/>
      <c r="H279">
        <f>IF(OR(B279="",G279=""),"",ROUND((G279-B279)*1440,0))</f>
        <v/>
      </c>
      <c r="I279">
        <f>IF(H279="","",IF(H279&lt;=Dashboard!$B$6,"Sim","Não"))</f>
        <v/>
      </c>
      <c r="J279" s="25" t="n"/>
      <c r="K279" s="25" t="n"/>
      <c r="L279" s="26" t="n"/>
      <c r="M279" s="25" t="n"/>
    </row>
    <row r="280">
      <c r="A280" s="23" t="n"/>
      <c r="B280" s="24" t="n"/>
      <c r="C280" s="25" t="n"/>
      <c r="D280" s="25" t="n"/>
      <c r="E280" s="25" t="n"/>
      <c r="F280" s="25" t="n"/>
      <c r="G280" s="24" t="n"/>
      <c r="H280">
        <f>IF(OR(B280="",G280=""),"",ROUND((G280-B280)*1440,0))</f>
        <v/>
      </c>
      <c r="I280">
        <f>IF(H280="","",IF(H280&lt;=Dashboard!$B$6,"Sim","Não"))</f>
        <v/>
      </c>
      <c r="J280" s="25" t="n"/>
      <c r="K280" s="25" t="n"/>
      <c r="L280" s="26" t="n"/>
      <c r="M280" s="25" t="n"/>
    </row>
    <row r="281">
      <c r="A281" s="23" t="n"/>
      <c r="B281" s="24" t="n"/>
      <c r="C281" s="25" t="n"/>
      <c r="D281" s="25" t="n"/>
      <c r="E281" s="25" t="n"/>
      <c r="F281" s="25" t="n"/>
      <c r="G281" s="24" t="n"/>
      <c r="H281">
        <f>IF(OR(B281="",G281=""),"",ROUND((G281-B281)*1440,0))</f>
        <v/>
      </c>
      <c r="I281">
        <f>IF(H281="","",IF(H281&lt;=Dashboard!$B$6,"Sim","Não"))</f>
        <v/>
      </c>
      <c r="J281" s="25" t="n"/>
      <c r="K281" s="25" t="n"/>
      <c r="L281" s="26" t="n"/>
      <c r="M281" s="25" t="n"/>
    </row>
    <row r="282">
      <c r="A282" s="23" t="n"/>
      <c r="B282" s="24" t="n"/>
      <c r="C282" s="25" t="n"/>
      <c r="D282" s="25" t="n"/>
      <c r="E282" s="25" t="n"/>
      <c r="F282" s="25" t="n"/>
      <c r="G282" s="24" t="n"/>
      <c r="H282">
        <f>IF(OR(B282="",G282=""),"",ROUND((G282-B282)*1440,0))</f>
        <v/>
      </c>
      <c r="I282">
        <f>IF(H282="","",IF(H282&lt;=Dashboard!$B$6,"Sim","Não"))</f>
        <v/>
      </c>
      <c r="J282" s="25" t="n"/>
      <c r="K282" s="25" t="n"/>
      <c r="L282" s="26" t="n"/>
      <c r="M282" s="25" t="n"/>
    </row>
    <row r="283">
      <c r="A283" s="23" t="n"/>
      <c r="B283" s="24" t="n"/>
      <c r="C283" s="25" t="n"/>
      <c r="D283" s="25" t="n"/>
      <c r="E283" s="25" t="n"/>
      <c r="F283" s="25" t="n"/>
      <c r="G283" s="24" t="n"/>
      <c r="H283">
        <f>IF(OR(B283="",G283=""),"",ROUND((G283-B283)*1440,0))</f>
        <v/>
      </c>
      <c r="I283">
        <f>IF(H283="","",IF(H283&lt;=Dashboard!$B$6,"Sim","Não"))</f>
        <v/>
      </c>
      <c r="J283" s="25" t="n"/>
      <c r="K283" s="25" t="n"/>
      <c r="L283" s="26" t="n"/>
      <c r="M283" s="25" t="n"/>
    </row>
    <row r="284">
      <c r="A284" s="23" t="n"/>
      <c r="B284" s="24" t="n"/>
      <c r="C284" s="25" t="n"/>
      <c r="D284" s="25" t="n"/>
      <c r="E284" s="25" t="n"/>
      <c r="F284" s="25" t="n"/>
      <c r="G284" s="24" t="n"/>
      <c r="H284">
        <f>IF(OR(B284="",G284=""),"",ROUND((G284-B284)*1440,0))</f>
        <v/>
      </c>
      <c r="I284">
        <f>IF(H284="","",IF(H284&lt;=Dashboard!$B$6,"Sim","Não"))</f>
        <v/>
      </c>
      <c r="J284" s="25" t="n"/>
      <c r="K284" s="25" t="n"/>
      <c r="L284" s="26" t="n"/>
      <c r="M284" s="25" t="n"/>
    </row>
    <row r="285">
      <c r="A285" s="23" t="n"/>
      <c r="B285" s="24" t="n"/>
      <c r="C285" s="25" t="n"/>
      <c r="D285" s="25" t="n"/>
      <c r="E285" s="25" t="n"/>
      <c r="F285" s="25" t="n"/>
      <c r="G285" s="24" t="n"/>
      <c r="H285">
        <f>IF(OR(B285="",G285=""),"",ROUND((G285-B285)*1440,0))</f>
        <v/>
      </c>
      <c r="I285">
        <f>IF(H285="","",IF(H285&lt;=Dashboard!$B$6,"Sim","Não"))</f>
        <v/>
      </c>
      <c r="J285" s="25" t="n"/>
      <c r="K285" s="25" t="n"/>
      <c r="L285" s="26" t="n"/>
      <c r="M285" s="25" t="n"/>
    </row>
    <row r="286">
      <c r="A286" s="23" t="n"/>
      <c r="B286" s="24" t="n"/>
      <c r="C286" s="25" t="n"/>
      <c r="D286" s="25" t="n"/>
      <c r="E286" s="25" t="n"/>
      <c r="F286" s="25" t="n"/>
      <c r="G286" s="24" t="n"/>
      <c r="H286">
        <f>IF(OR(B286="",G286=""),"",ROUND((G286-B286)*1440,0))</f>
        <v/>
      </c>
      <c r="I286">
        <f>IF(H286="","",IF(H286&lt;=Dashboard!$B$6,"Sim","Não"))</f>
        <v/>
      </c>
      <c r="J286" s="25" t="n"/>
      <c r="K286" s="25" t="n"/>
      <c r="L286" s="26" t="n"/>
      <c r="M286" s="25" t="n"/>
    </row>
    <row r="287">
      <c r="A287" s="23" t="n"/>
      <c r="B287" s="24" t="n"/>
      <c r="C287" s="25" t="n"/>
      <c r="D287" s="25" t="n"/>
      <c r="E287" s="25" t="n"/>
      <c r="F287" s="25" t="n"/>
      <c r="G287" s="24" t="n"/>
      <c r="H287">
        <f>IF(OR(B287="",G287=""),"",ROUND((G287-B287)*1440,0))</f>
        <v/>
      </c>
      <c r="I287">
        <f>IF(H287="","",IF(H287&lt;=Dashboard!$B$6,"Sim","Não"))</f>
        <v/>
      </c>
      <c r="J287" s="25" t="n"/>
      <c r="K287" s="25" t="n"/>
      <c r="L287" s="26" t="n"/>
      <c r="M287" s="25" t="n"/>
    </row>
    <row r="288">
      <c r="A288" s="23" t="n"/>
      <c r="B288" s="24" t="n"/>
      <c r="C288" s="25" t="n"/>
      <c r="D288" s="25" t="n"/>
      <c r="E288" s="25" t="n"/>
      <c r="F288" s="25" t="n"/>
      <c r="G288" s="24" t="n"/>
      <c r="H288">
        <f>IF(OR(B288="",G288=""),"",ROUND((G288-B288)*1440,0))</f>
        <v/>
      </c>
      <c r="I288">
        <f>IF(H288="","",IF(H288&lt;=Dashboard!$B$6,"Sim","Não"))</f>
        <v/>
      </c>
      <c r="J288" s="25" t="n"/>
      <c r="K288" s="25" t="n"/>
      <c r="L288" s="26" t="n"/>
      <c r="M288" s="25" t="n"/>
    </row>
    <row r="289">
      <c r="A289" s="23" t="n"/>
      <c r="B289" s="24" t="n"/>
      <c r="C289" s="25" t="n"/>
      <c r="D289" s="25" t="n"/>
      <c r="E289" s="25" t="n"/>
      <c r="F289" s="25" t="n"/>
      <c r="G289" s="24" t="n"/>
      <c r="H289">
        <f>IF(OR(B289="",G289=""),"",ROUND((G289-B289)*1440,0))</f>
        <v/>
      </c>
      <c r="I289">
        <f>IF(H289="","",IF(H289&lt;=Dashboard!$B$6,"Sim","Não"))</f>
        <v/>
      </c>
      <c r="J289" s="25" t="n"/>
      <c r="K289" s="25" t="n"/>
      <c r="L289" s="26" t="n"/>
      <c r="M289" s="25" t="n"/>
    </row>
    <row r="290">
      <c r="A290" s="23" t="n"/>
      <c r="B290" s="24" t="n"/>
      <c r="C290" s="25" t="n"/>
      <c r="D290" s="25" t="n"/>
      <c r="E290" s="25" t="n"/>
      <c r="F290" s="25" t="n"/>
      <c r="G290" s="24" t="n"/>
      <c r="H290">
        <f>IF(OR(B290="",G290=""),"",ROUND((G290-B290)*1440,0))</f>
        <v/>
      </c>
      <c r="I290">
        <f>IF(H290="","",IF(H290&lt;=Dashboard!$B$6,"Sim","Não"))</f>
        <v/>
      </c>
      <c r="J290" s="25" t="n"/>
      <c r="K290" s="25" t="n"/>
      <c r="L290" s="26" t="n"/>
      <c r="M290" s="25" t="n"/>
    </row>
    <row r="291">
      <c r="A291" s="23" t="n"/>
      <c r="B291" s="24" t="n"/>
      <c r="C291" s="25" t="n"/>
      <c r="D291" s="25" t="n"/>
      <c r="E291" s="25" t="n"/>
      <c r="F291" s="25" t="n"/>
      <c r="G291" s="24" t="n"/>
      <c r="H291">
        <f>IF(OR(B291="",G291=""),"",ROUND((G291-B291)*1440,0))</f>
        <v/>
      </c>
      <c r="I291">
        <f>IF(H291="","",IF(H291&lt;=Dashboard!$B$6,"Sim","Não"))</f>
        <v/>
      </c>
      <c r="J291" s="25" t="n"/>
      <c r="K291" s="25" t="n"/>
      <c r="L291" s="26" t="n"/>
      <c r="M291" s="25" t="n"/>
    </row>
    <row r="292">
      <c r="A292" s="23" t="n"/>
      <c r="B292" s="24" t="n"/>
      <c r="C292" s="25" t="n"/>
      <c r="D292" s="25" t="n"/>
      <c r="E292" s="25" t="n"/>
      <c r="F292" s="25" t="n"/>
      <c r="G292" s="24" t="n"/>
      <c r="H292">
        <f>IF(OR(B292="",G292=""),"",ROUND((G292-B292)*1440,0))</f>
        <v/>
      </c>
      <c r="I292">
        <f>IF(H292="","",IF(H292&lt;=Dashboard!$B$6,"Sim","Não"))</f>
        <v/>
      </c>
      <c r="J292" s="25" t="n"/>
      <c r="K292" s="25" t="n"/>
      <c r="L292" s="26" t="n"/>
      <c r="M292" s="25" t="n"/>
    </row>
    <row r="293">
      <c r="A293" s="23" t="n"/>
      <c r="B293" s="24" t="n"/>
      <c r="C293" s="25" t="n"/>
      <c r="D293" s="25" t="n"/>
      <c r="E293" s="25" t="n"/>
      <c r="F293" s="25" t="n"/>
      <c r="G293" s="24" t="n"/>
      <c r="H293">
        <f>IF(OR(B293="",G293=""),"",ROUND((G293-B293)*1440,0))</f>
        <v/>
      </c>
      <c r="I293">
        <f>IF(H293="","",IF(H293&lt;=Dashboard!$B$6,"Sim","Não"))</f>
        <v/>
      </c>
      <c r="J293" s="25" t="n"/>
      <c r="K293" s="25" t="n"/>
      <c r="L293" s="26" t="n"/>
      <c r="M293" s="25" t="n"/>
    </row>
    <row r="294">
      <c r="A294" s="23" t="n"/>
      <c r="B294" s="24" t="n"/>
      <c r="C294" s="25" t="n"/>
      <c r="D294" s="25" t="n"/>
      <c r="E294" s="25" t="n"/>
      <c r="F294" s="25" t="n"/>
      <c r="G294" s="24" t="n"/>
      <c r="H294">
        <f>IF(OR(B294="",G294=""),"",ROUND((G294-B294)*1440,0))</f>
        <v/>
      </c>
      <c r="I294">
        <f>IF(H294="","",IF(H294&lt;=Dashboard!$B$6,"Sim","Não"))</f>
        <v/>
      </c>
      <c r="J294" s="25" t="n"/>
      <c r="K294" s="25" t="n"/>
      <c r="L294" s="26" t="n"/>
      <c r="M294" s="25" t="n"/>
    </row>
    <row r="295">
      <c r="A295" s="23" t="n"/>
      <c r="B295" s="24" t="n"/>
      <c r="C295" s="25" t="n"/>
      <c r="D295" s="25" t="n"/>
      <c r="E295" s="25" t="n"/>
      <c r="F295" s="25" t="n"/>
      <c r="G295" s="24" t="n"/>
      <c r="H295">
        <f>IF(OR(B295="",G295=""),"",ROUND((G295-B295)*1440,0))</f>
        <v/>
      </c>
      <c r="I295">
        <f>IF(H295="","",IF(H295&lt;=Dashboard!$B$6,"Sim","Não"))</f>
        <v/>
      </c>
      <c r="J295" s="25" t="n"/>
      <c r="K295" s="25" t="n"/>
      <c r="L295" s="26" t="n"/>
      <c r="M295" s="25" t="n"/>
    </row>
    <row r="296">
      <c r="A296" s="23" t="n"/>
      <c r="B296" s="24" t="n"/>
      <c r="C296" s="25" t="n"/>
      <c r="D296" s="25" t="n"/>
      <c r="E296" s="25" t="n"/>
      <c r="F296" s="25" t="n"/>
      <c r="G296" s="24" t="n"/>
      <c r="H296">
        <f>IF(OR(B296="",G296=""),"",ROUND((G296-B296)*1440,0))</f>
        <v/>
      </c>
      <c r="I296">
        <f>IF(H296="","",IF(H296&lt;=Dashboard!$B$6,"Sim","Não"))</f>
        <v/>
      </c>
      <c r="J296" s="25" t="n"/>
      <c r="K296" s="25" t="n"/>
      <c r="L296" s="26" t="n"/>
      <c r="M296" s="25" t="n"/>
    </row>
    <row r="297">
      <c r="A297" s="23" t="n"/>
      <c r="B297" s="24" t="n"/>
      <c r="C297" s="25" t="n"/>
      <c r="D297" s="25" t="n"/>
      <c r="E297" s="25" t="n"/>
      <c r="F297" s="25" t="n"/>
      <c r="G297" s="24" t="n"/>
      <c r="H297">
        <f>IF(OR(B297="",G297=""),"",ROUND((G297-B297)*1440,0))</f>
        <v/>
      </c>
      <c r="I297">
        <f>IF(H297="","",IF(H297&lt;=Dashboard!$B$6,"Sim","Não"))</f>
        <v/>
      </c>
      <c r="J297" s="25" t="n"/>
      <c r="K297" s="25" t="n"/>
      <c r="L297" s="26" t="n"/>
      <c r="M297" s="25" t="n"/>
    </row>
    <row r="298">
      <c r="A298" s="23" t="n"/>
      <c r="B298" s="24" t="n"/>
      <c r="C298" s="25" t="n"/>
      <c r="D298" s="25" t="n"/>
      <c r="E298" s="25" t="n"/>
      <c r="F298" s="25" t="n"/>
      <c r="G298" s="24" t="n"/>
      <c r="H298">
        <f>IF(OR(B298="",G298=""),"",ROUND((G298-B298)*1440,0))</f>
        <v/>
      </c>
      <c r="I298">
        <f>IF(H298="","",IF(H298&lt;=Dashboard!$B$6,"Sim","Não"))</f>
        <v/>
      </c>
      <c r="J298" s="25" t="n"/>
      <c r="K298" s="25" t="n"/>
      <c r="L298" s="26" t="n"/>
      <c r="M298" s="25" t="n"/>
    </row>
    <row r="299">
      <c r="A299" s="23" t="n"/>
      <c r="B299" s="24" t="n"/>
      <c r="C299" s="25" t="n"/>
      <c r="D299" s="25" t="n"/>
      <c r="E299" s="25" t="n"/>
      <c r="F299" s="25" t="n"/>
      <c r="G299" s="24" t="n"/>
      <c r="H299">
        <f>IF(OR(B299="",G299=""),"",ROUND((G299-B299)*1440,0))</f>
        <v/>
      </c>
      <c r="I299">
        <f>IF(H299="","",IF(H299&lt;=Dashboard!$B$6,"Sim","Não"))</f>
        <v/>
      </c>
      <c r="J299" s="25" t="n"/>
      <c r="K299" s="25" t="n"/>
      <c r="L299" s="26" t="n"/>
      <c r="M299" s="25" t="n"/>
    </row>
    <row r="300">
      <c r="A300" s="23" t="n"/>
      <c r="B300" s="24" t="n"/>
      <c r="C300" s="25" t="n"/>
      <c r="D300" s="25" t="n"/>
      <c r="E300" s="25" t="n"/>
      <c r="F300" s="25" t="n"/>
      <c r="G300" s="24" t="n"/>
      <c r="H300">
        <f>IF(OR(B300="",G300=""),"",ROUND((G300-B300)*1440,0))</f>
        <v/>
      </c>
      <c r="I300">
        <f>IF(H300="","",IF(H300&lt;=Dashboard!$B$6,"Sim","Não"))</f>
        <v/>
      </c>
      <c r="J300" s="25" t="n"/>
      <c r="K300" s="25" t="n"/>
      <c r="L300" s="26" t="n"/>
      <c r="M300" s="25" t="n"/>
    </row>
    <row r="301">
      <c r="A301" s="23" t="n"/>
      <c r="B301" s="24" t="n"/>
      <c r="C301" s="25" t="n"/>
      <c r="D301" s="25" t="n"/>
      <c r="E301" s="25" t="n"/>
      <c r="F301" s="25" t="n"/>
      <c r="G301" s="24" t="n"/>
      <c r="H301">
        <f>IF(OR(B301="",G301=""),"",ROUND((G301-B301)*1440,0))</f>
        <v/>
      </c>
      <c r="I301">
        <f>IF(H301="","",IF(H301&lt;=Dashboard!$B$6,"Sim","Não"))</f>
        <v/>
      </c>
      <c r="J301" s="25" t="n"/>
      <c r="K301" s="25" t="n"/>
      <c r="L301" s="26" t="n"/>
      <c r="M301" s="25" t="n"/>
    </row>
    <row r="302">
      <c r="A302" s="23" t="n"/>
      <c r="B302" s="24" t="n"/>
      <c r="C302" s="25" t="n"/>
      <c r="D302" s="25" t="n"/>
      <c r="E302" s="25" t="n"/>
      <c r="F302" s="25" t="n"/>
      <c r="G302" s="24" t="n"/>
      <c r="H302">
        <f>IF(OR(B302="",G302=""),"",ROUND((G302-B302)*1440,0))</f>
        <v/>
      </c>
      <c r="I302">
        <f>IF(H302="","",IF(H302&lt;=Dashboard!$B$6,"Sim","Não"))</f>
        <v/>
      </c>
      <c r="J302" s="25" t="n"/>
      <c r="K302" s="25" t="n"/>
      <c r="L302" s="26" t="n"/>
      <c r="M302" s="25" t="n"/>
    </row>
    <row r="303">
      <c r="A303" s="23" t="n"/>
      <c r="B303" s="24" t="n"/>
      <c r="C303" s="25" t="n"/>
      <c r="D303" s="25" t="n"/>
      <c r="E303" s="25" t="n"/>
      <c r="F303" s="25" t="n"/>
      <c r="G303" s="24" t="n"/>
      <c r="H303">
        <f>IF(OR(B303="",G303=""),"",ROUND((G303-B303)*1440,0))</f>
        <v/>
      </c>
      <c r="I303">
        <f>IF(H303="","",IF(H303&lt;=Dashboard!$B$6,"Sim","Não"))</f>
        <v/>
      </c>
      <c r="J303" s="25" t="n"/>
      <c r="K303" s="25" t="n"/>
      <c r="L303" s="26" t="n"/>
      <c r="M303" s="25" t="n"/>
    </row>
    <row r="304">
      <c r="A304" s="23" t="n"/>
      <c r="B304" s="24" t="n"/>
      <c r="C304" s="25" t="n"/>
      <c r="D304" s="25" t="n"/>
      <c r="E304" s="25" t="n"/>
      <c r="F304" s="25" t="n"/>
      <c r="G304" s="24" t="n"/>
      <c r="H304">
        <f>IF(OR(B304="",G304=""),"",ROUND((G304-B304)*1440,0))</f>
        <v/>
      </c>
      <c r="I304">
        <f>IF(H304="","",IF(H304&lt;=Dashboard!$B$6,"Sim","Não"))</f>
        <v/>
      </c>
      <c r="J304" s="25" t="n"/>
      <c r="K304" s="25" t="n"/>
      <c r="L304" s="26" t="n"/>
      <c r="M304" s="25" t="n"/>
    </row>
    <row r="305">
      <c r="A305" s="23" t="n"/>
      <c r="B305" s="24" t="n"/>
      <c r="C305" s="25" t="n"/>
      <c r="D305" s="25" t="n"/>
      <c r="E305" s="25" t="n"/>
      <c r="F305" s="25" t="n"/>
      <c r="G305" s="24" t="n"/>
      <c r="H305">
        <f>IF(OR(B305="",G305=""),"",ROUND((G305-B305)*1440,0))</f>
        <v/>
      </c>
      <c r="I305">
        <f>IF(H305="","",IF(H305&lt;=Dashboard!$B$6,"Sim","Não"))</f>
        <v/>
      </c>
      <c r="J305" s="25" t="n"/>
      <c r="K305" s="25" t="n"/>
      <c r="L305" s="26" t="n"/>
      <c r="M305" s="25" t="n"/>
    </row>
    <row r="306">
      <c r="A306" s="23" t="n"/>
      <c r="B306" s="24" t="n"/>
      <c r="C306" s="25" t="n"/>
      <c r="D306" s="25" t="n"/>
      <c r="E306" s="25" t="n"/>
      <c r="F306" s="25" t="n"/>
      <c r="G306" s="24" t="n"/>
      <c r="H306">
        <f>IF(OR(B306="",G306=""),"",ROUND((G306-B306)*1440,0))</f>
        <v/>
      </c>
      <c r="I306">
        <f>IF(H306="","",IF(H306&lt;=Dashboard!$B$6,"Sim","Não"))</f>
        <v/>
      </c>
      <c r="J306" s="25" t="n"/>
      <c r="K306" s="25" t="n"/>
      <c r="L306" s="26" t="n"/>
      <c r="M306" s="25" t="n"/>
    </row>
    <row r="307">
      <c r="A307" s="23" t="n"/>
      <c r="B307" s="24" t="n"/>
      <c r="C307" s="25" t="n"/>
      <c r="D307" s="25" t="n"/>
      <c r="E307" s="25" t="n"/>
      <c r="F307" s="25" t="n"/>
      <c r="G307" s="24" t="n"/>
      <c r="H307">
        <f>IF(OR(B307="",G307=""),"",ROUND((G307-B307)*1440,0))</f>
        <v/>
      </c>
      <c r="I307">
        <f>IF(H307="","",IF(H307&lt;=Dashboard!$B$6,"Sim","Não"))</f>
        <v/>
      </c>
      <c r="J307" s="25" t="n"/>
      <c r="K307" s="25" t="n"/>
      <c r="L307" s="26" t="n"/>
      <c r="M307" s="25" t="n"/>
    </row>
    <row r="308">
      <c r="A308" s="23" t="n"/>
      <c r="B308" s="24" t="n"/>
      <c r="C308" s="25" t="n"/>
      <c r="D308" s="25" t="n"/>
      <c r="E308" s="25" t="n"/>
      <c r="F308" s="25" t="n"/>
      <c r="G308" s="24" t="n"/>
      <c r="H308">
        <f>IF(OR(B308="",G308=""),"",ROUND((G308-B308)*1440,0))</f>
        <v/>
      </c>
      <c r="I308">
        <f>IF(H308="","",IF(H308&lt;=Dashboard!$B$6,"Sim","Não"))</f>
        <v/>
      </c>
      <c r="J308" s="25" t="n"/>
      <c r="K308" s="25" t="n"/>
      <c r="L308" s="26" t="n"/>
      <c r="M308" s="25" t="n"/>
    </row>
    <row r="309">
      <c r="A309" s="23" t="n"/>
      <c r="B309" s="24" t="n"/>
      <c r="C309" s="25" t="n"/>
      <c r="D309" s="25" t="n"/>
      <c r="E309" s="25" t="n"/>
      <c r="F309" s="25" t="n"/>
      <c r="G309" s="24" t="n"/>
      <c r="H309">
        <f>IF(OR(B309="",G309=""),"",ROUND((G309-B309)*1440,0))</f>
        <v/>
      </c>
      <c r="I309">
        <f>IF(H309="","",IF(H309&lt;=Dashboard!$B$6,"Sim","Não"))</f>
        <v/>
      </c>
      <c r="J309" s="25" t="n"/>
      <c r="K309" s="25" t="n"/>
      <c r="L309" s="26" t="n"/>
      <c r="M309" s="25" t="n"/>
    </row>
    <row r="310">
      <c r="A310" s="23" t="n"/>
      <c r="B310" s="24" t="n"/>
      <c r="C310" s="25" t="n"/>
      <c r="D310" s="25" t="n"/>
      <c r="E310" s="25" t="n"/>
      <c r="F310" s="25" t="n"/>
      <c r="G310" s="24" t="n"/>
      <c r="H310">
        <f>IF(OR(B310="",G310=""),"",ROUND((G310-B310)*1440,0))</f>
        <v/>
      </c>
      <c r="I310">
        <f>IF(H310="","",IF(H310&lt;=Dashboard!$B$6,"Sim","Não"))</f>
        <v/>
      </c>
      <c r="J310" s="25" t="n"/>
      <c r="K310" s="25" t="n"/>
      <c r="L310" s="26" t="n"/>
      <c r="M310" s="25" t="n"/>
    </row>
    <row r="311">
      <c r="A311" s="23" t="n"/>
      <c r="B311" s="24" t="n"/>
      <c r="C311" s="25" t="n"/>
      <c r="D311" s="25" t="n"/>
      <c r="E311" s="25" t="n"/>
      <c r="F311" s="25" t="n"/>
      <c r="G311" s="24" t="n"/>
      <c r="H311">
        <f>IF(OR(B311="",G311=""),"",ROUND((G311-B311)*1440,0))</f>
        <v/>
      </c>
      <c r="I311">
        <f>IF(H311="","",IF(H311&lt;=Dashboard!$B$6,"Sim","Não"))</f>
        <v/>
      </c>
      <c r="J311" s="25" t="n"/>
      <c r="K311" s="25" t="n"/>
      <c r="L311" s="26" t="n"/>
      <c r="M311" s="25" t="n"/>
    </row>
    <row r="312">
      <c r="A312" s="23" t="n"/>
      <c r="B312" s="24" t="n"/>
      <c r="C312" s="25" t="n"/>
      <c r="D312" s="25" t="n"/>
      <c r="E312" s="25" t="n"/>
      <c r="F312" s="25" t="n"/>
      <c r="G312" s="24" t="n"/>
      <c r="H312">
        <f>IF(OR(B312="",G312=""),"",ROUND((G312-B312)*1440,0))</f>
        <v/>
      </c>
      <c r="I312">
        <f>IF(H312="","",IF(H312&lt;=Dashboard!$B$6,"Sim","Não"))</f>
        <v/>
      </c>
      <c r="J312" s="25" t="n"/>
      <c r="K312" s="25" t="n"/>
      <c r="L312" s="26" t="n"/>
      <c r="M312" s="25" t="n"/>
    </row>
    <row r="313">
      <c r="A313" s="23" t="n"/>
      <c r="B313" s="24" t="n"/>
      <c r="C313" s="25" t="n"/>
      <c r="D313" s="25" t="n"/>
      <c r="E313" s="25" t="n"/>
      <c r="F313" s="25" t="n"/>
      <c r="G313" s="24" t="n"/>
      <c r="H313">
        <f>IF(OR(B313="",G313=""),"",ROUND((G313-B313)*1440,0))</f>
        <v/>
      </c>
      <c r="I313">
        <f>IF(H313="","",IF(H313&lt;=Dashboard!$B$6,"Sim","Não"))</f>
        <v/>
      </c>
      <c r="J313" s="25" t="n"/>
      <c r="K313" s="25" t="n"/>
      <c r="L313" s="26" t="n"/>
      <c r="M313" s="25" t="n"/>
    </row>
    <row r="314">
      <c r="A314" s="23" t="n"/>
      <c r="B314" s="24" t="n"/>
      <c r="C314" s="25" t="n"/>
      <c r="D314" s="25" t="n"/>
      <c r="E314" s="25" t="n"/>
      <c r="F314" s="25" t="n"/>
      <c r="G314" s="24" t="n"/>
      <c r="H314">
        <f>IF(OR(B314="",G314=""),"",ROUND((G314-B314)*1440,0))</f>
        <v/>
      </c>
      <c r="I314">
        <f>IF(H314="","",IF(H314&lt;=Dashboard!$B$6,"Sim","Não"))</f>
        <v/>
      </c>
      <c r="J314" s="25" t="n"/>
      <c r="K314" s="25" t="n"/>
      <c r="L314" s="26" t="n"/>
      <c r="M314" s="25" t="n"/>
    </row>
    <row r="315">
      <c r="A315" s="23" t="n"/>
      <c r="B315" s="24" t="n"/>
      <c r="C315" s="25" t="n"/>
      <c r="D315" s="25" t="n"/>
      <c r="E315" s="25" t="n"/>
      <c r="F315" s="25" t="n"/>
      <c r="G315" s="24" t="n"/>
      <c r="H315">
        <f>IF(OR(B315="",G315=""),"",ROUND((G315-B315)*1440,0))</f>
        <v/>
      </c>
      <c r="I315">
        <f>IF(H315="","",IF(H315&lt;=Dashboard!$B$6,"Sim","Não"))</f>
        <v/>
      </c>
      <c r="J315" s="25" t="n"/>
      <c r="K315" s="25" t="n"/>
      <c r="L315" s="26" t="n"/>
      <c r="M315" s="25" t="n"/>
    </row>
    <row r="316">
      <c r="A316" s="23" t="n"/>
      <c r="B316" s="24" t="n"/>
      <c r="C316" s="25" t="n"/>
      <c r="D316" s="25" t="n"/>
      <c r="E316" s="25" t="n"/>
      <c r="F316" s="25" t="n"/>
      <c r="G316" s="24" t="n"/>
      <c r="H316">
        <f>IF(OR(B316="",G316=""),"",ROUND((G316-B316)*1440,0))</f>
        <v/>
      </c>
      <c r="I316">
        <f>IF(H316="","",IF(H316&lt;=Dashboard!$B$6,"Sim","Não"))</f>
        <v/>
      </c>
      <c r="J316" s="25" t="n"/>
      <c r="K316" s="25" t="n"/>
      <c r="L316" s="26" t="n"/>
      <c r="M316" s="25" t="n"/>
    </row>
    <row r="317">
      <c r="A317" s="23" t="n"/>
      <c r="B317" s="24" t="n"/>
      <c r="C317" s="25" t="n"/>
      <c r="D317" s="25" t="n"/>
      <c r="E317" s="25" t="n"/>
      <c r="F317" s="25" t="n"/>
      <c r="G317" s="24" t="n"/>
      <c r="H317">
        <f>IF(OR(B317="",G317=""),"",ROUND((G317-B317)*1440,0))</f>
        <v/>
      </c>
      <c r="I317">
        <f>IF(H317="","",IF(H317&lt;=Dashboard!$B$6,"Sim","Não"))</f>
        <v/>
      </c>
      <c r="J317" s="25" t="n"/>
      <c r="K317" s="25" t="n"/>
      <c r="L317" s="26" t="n"/>
      <c r="M317" s="25" t="n"/>
    </row>
    <row r="318">
      <c r="A318" s="23" t="n"/>
      <c r="B318" s="24" t="n"/>
      <c r="C318" s="25" t="n"/>
      <c r="D318" s="25" t="n"/>
      <c r="E318" s="25" t="n"/>
      <c r="F318" s="25" t="n"/>
      <c r="G318" s="24" t="n"/>
      <c r="H318">
        <f>IF(OR(B318="",G318=""),"",ROUND((G318-B318)*1440,0))</f>
        <v/>
      </c>
      <c r="I318">
        <f>IF(H318="","",IF(H318&lt;=Dashboard!$B$6,"Sim","Não"))</f>
        <v/>
      </c>
      <c r="J318" s="25" t="n"/>
      <c r="K318" s="25" t="n"/>
      <c r="L318" s="26" t="n"/>
      <c r="M318" s="25" t="n"/>
    </row>
    <row r="319">
      <c r="A319" s="23" t="n"/>
      <c r="B319" s="24" t="n"/>
      <c r="C319" s="25" t="n"/>
      <c r="D319" s="25" t="n"/>
      <c r="E319" s="25" t="n"/>
      <c r="F319" s="25" t="n"/>
      <c r="G319" s="24" t="n"/>
      <c r="H319">
        <f>IF(OR(B319="",G319=""),"",ROUND((G319-B319)*1440,0))</f>
        <v/>
      </c>
      <c r="I319">
        <f>IF(H319="","",IF(H319&lt;=Dashboard!$B$6,"Sim","Não"))</f>
        <v/>
      </c>
      <c r="J319" s="25" t="n"/>
      <c r="K319" s="25" t="n"/>
      <c r="L319" s="26" t="n"/>
      <c r="M319" s="25" t="n"/>
    </row>
    <row r="320">
      <c r="A320" s="23" t="n"/>
      <c r="B320" s="24" t="n"/>
      <c r="C320" s="25" t="n"/>
      <c r="D320" s="25" t="n"/>
      <c r="E320" s="25" t="n"/>
      <c r="F320" s="25" t="n"/>
      <c r="G320" s="24" t="n"/>
      <c r="H320">
        <f>IF(OR(B320="",G320=""),"",ROUND((G320-B320)*1440,0))</f>
        <v/>
      </c>
      <c r="I320">
        <f>IF(H320="","",IF(H320&lt;=Dashboard!$B$6,"Sim","Não"))</f>
        <v/>
      </c>
      <c r="J320" s="25" t="n"/>
      <c r="K320" s="25" t="n"/>
      <c r="L320" s="26" t="n"/>
      <c r="M320" s="25" t="n"/>
    </row>
    <row r="321">
      <c r="A321" s="23" t="n"/>
      <c r="B321" s="24" t="n"/>
      <c r="C321" s="25" t="n"/>
      <c r="D321" s="25" t="n"/>
      <c r="E321" s="25" t="n"/>
      <c r="F321" s="25" t="n"/>
      <c r="G321" s="24" t="n"/>
      <c r="H321">
        <f>IF(OR(B321="",G321=""),"",ROUND((G321-B321)*1440,0))</f>
        <v/>
      </c>
      <c r="I321">
        <f>IF(H321="","",IF(H321&lt;=Dashboard!$B$6,"Sim","Não"))</f>
        <v/>
      </c>
      <c r="J321" s="25" t="n"/>
      <c r="K321" s="25" t="n"/>
      <c r="L321" s="26" t="n"/>
      <c r="M321" s="25" t="n"/>
    </row>
    <row r="322">
      <c r="A322" s="23" t="n"/>
      <c r="B322" s="24" t="n"/>
      <c r="C322" s="25" t="n"/>
      <c r="D322" s="25" t="n"/>
      <c r="E322" s="25" t="n"/>
      <c r="F322" s="25" t="n"/>
      <c r="G322" s="24" t="n"/>
      <c r="H322">
        <f>IF(OR(B322="",G322=""),"",ROUND((G322-B322)*1440,0))</f>
        <v/>
      </c>
      <c r="I322">
        <f>IF(H322="","",IF(H322&lt;=Dashboard!$B$6,"Sim","Não"))</f>
        <v/>
      </c>
      <c r="J322" s="25" t="n"/>
      <c r="K322" s="25" t="n"/>
      <c r="L322" s="26" t="n"/>
      <c r="M322" s="25" t="n"/>
    </row>
    <row r="323">
      <c r="A323" s="23" t="n"/>
      <c r="B323" s="24" t="n"/>
      <c r="C323" s="25" t="n"/>
      <c r="D323" s="25" t="n"/>
      <c r="E323" s="25" t="n"/>
      <c r="F323" s="25" t="n"/>
      <c r="G323" s="24" t="n"/>
      <c r="H323">
        <f>IF(OR(B323="",G323=""),"",ROUND((G323-B323)*1440,0))</f>
        <v/>
      </c>
      <c r="I323">
        <f>IF(H323="","",IF(H323&lt;=Dashboard!$B$6,"Sim","Não"))</f>
        <v/>
      </c>
      <c r="J323" s="25" t="n"/>
      <c r="K323" s="25" t="n"/>
      <c r="L323" s="26" t="n"/>
      <c r="M323" s="25" t="n"/>
    </row>
    <row r="324">
      <c r="A324" s="23" t="n"/>
      <c r="B324" s="24" t="n"/>
      <c r="C324" s="25" t="n"/>
      <c r="D324" s="25" t="n"/>
      <c r="E324" s="25" t="n"/>
      <c r="F324" s="25" t="n"/>
      <c r="G324" s="24" t="n"/>
      <c r="H324">
        <f>IF(OR(B324="",G324=""),"",ROUND((G324-B324)*1440,0))</f>
        <v/>
      </c>
      <c r="I324">
        <f>IF(H324="","",IF(H324&lt;=Dashboard!$B$6,"Sim","Não"))</f>
        <v/>
      </c>
      <c r="J324" s="25" t="n"/>
      <c r="K324" s="25" t="n"/>
      <c r="L324" s="26" t="n"/>
      <c r="M324" s="25" t="n"/>
    </row>
    <row r="325">
      <c r="A325" s="23" t="n"/>
      <c r="B325" s="24" t="n"/>
      <c r="C325" s="25" t="n"/>
      <c r="D325" s="25" t="n"/>
      <c r="E325" s="25" t="n"/>
      <c r="F325" s="25" t="n"/>
      <c r="G325" s="24" t="n"/>
      <c r="H325">
        <f>IF(OR(B325="",G325=""),"",ROUND((G325-B325)*1440,0))</f>
        <v/>
      </c>
      <c r="I325">
        <f>IF(H325="","",IF(H325&lt;=Dashboard!$B$6,"Sim","Não"))</f>
        <v/>
      </c>
      <c r="J325" s="25" t="n"/>
      <c r="K325" s="25" t="n"/>
      <c r="L325" s="26" t="n"/>
      <c r="M325" s="25" t="n"/>
    </row>
    <row r="326">
      <c r="A326" s="23" t="n"/>
      <c r="B326" s="24" t="n"/>
      <c r="C326" s="25" t="n"/>
      <c r="D326" s="25" t="n"/>
      <c r="E326" s="25" t="n"/>
      <c r="F326" s="25" t="n"/>
      <c r="G326" s="24" t="n"/>
      <c r="H326">
        <f>IF(OR(B326="",G326=""),"",ROUND((G326-B326)*1440,0))</f>
        <v/>
      </c>
      <c r="I326">
        <f>IF(H326="","",IF(H326&lt;=Dashboard!$B$6,"Sim","Não"))</f>
        <v/>
      </c>
      <c r="J326" s="25" t="n"/>
      <c r="K326" s="25" t="n"/>
      <c r="L326" s="26" t="n"/>
      <c r="M326" s="25" t="n"/>
    </row>
    <row r="327">
      <c r="A327" s="23" t="n"/>
      <c r="B327" s="24" t="n"/>
      <c r="C327" s="25" t="n"/>
      <c r="D327" s="25" t="n"/>
      <c r="E327" s="25" t="n"/>
      <c r="F327" s="25" t="n"/>
      <c r="G327" s="24" t="n"/>
      <c r="H327">
        <f>IF(OR(B327="",G327=""),"",ROUND((G327-B327)*1440,0))</f>
        <v/>
      </c>
      <c r="I327">
        <f>IF(H327="","",IF(H327&lt;=Dashboard!$B$6,"Sim","Não"))</f>
        <v/>
      </c>
      <c r="J327" s="25" t="n"/>
      <c r="K327" s="25" t="n"/>
      <c r="L327" s="26" t="n"/>
      <c r="M327" s="25" t="n"/>
    </row>
    <row r="328">
      <c r="A328" s="23" t="n"/>
      <c r="B328" s="24" t="n"/>
      <c r="C328" s="25" t="n"/>
      <c r="D328" s="25" t="n"/>
      <c r="E328" s="25" t="n"/>
      <c r="F328" s="25" t="n"/>
      <c r="G328" s="24" t="n"/>
      <c r="H328">
        <f>IF(OR(B328="",G328=""),"",ROUND((G328-B328)*1440,0))</f>
        <v/>
      </c>
      <c r="I328">
        <f>IF(H328="","",IF(H328&lt;=Dashboard!$B$6,"Sim","Não"))</f>
        <v/>
      </c>
      <c r="J328" s="25" t="n"/>
      <c r="K328" s="25" t="n"/>
      <c r="L328" s="26" t="n"/>
      <c r="M328" s="25" t="n"/>
    </row>
    <row r="329">
      <c r="A329" s="23" t="n"/>
      <c r="B329" s="24" t="n"/>
      <c r="C329" s="25" t="n"/>
      <c r="D329" s="25" t="n"/>
      <c r="E329" s="25" t="n"/>
      <c r="F329" s="25" t="n"/>
      <c r="G329" s="24" t="n"/>
      <c r="H329">
        <f>IF(OR(B329="",G329=""),"",ROUND((G329-B329)*1440,0))</f>
        <v/>
      </c>
      <c r="I329">
        <f>IF(H329="","",IF(H329&lt;=Dashboard!$B$6,"Sim","Não"))</f>
        <v/>
      </c>
      <c r="J329" s="25" t="n"/>
      <c r="K329" s="25" t="n"/>
      <c r="L329" s="26" t="n"/>
      <c r="M329" s="25" t="n"/>
    </row>
    <row r="330">
      <c r="A330" s="23" t="n"/>
      <c r="B330" s="24" t="n"/>
      <c r="C330" s="25" t="n"/>
      <c r="D330" s="25" t="n"/>
      <c r="E330" s="25" t="n"/>
      <c r="F330" s="25" t="n"/>
      <c r="G330" s="24" t="n"/>
      <c r="H330">
        <f>IF(OR(B330="",G330=""),"",ROUND((G330-B330)*1440,0))</f>
        <v/>
      </c>
      <c r="I330">
        <f>IF(H330="","",IF(H330&lt;=Dashboard!$B$6,"Sim","Não"))</f>
        <v/>
      </c>
      <c r="J330" s="25" t="n"/>
      <c r="K330" s="25" t="n"/>
      <c r="L330" s="26" t="n"/>
      <c r="M330" s="25" t="n"/>
    </row>
    <row r="331">
      <c r="A331" s="23" t="n"/>
      <c r="B331" s="24" t="n"/>
      <c r="C331" s="25" t="n"/>
      <c r="D331" s="25" t="n"/>
      <c r="E331" s="25" t="n"/>
      <c r="F331" s="25" t="n"/>
      <c r="G331" s="24" t="n"/>
      <c r="H331">
        <f>IF(OR(B331="",G331=""),"",ROUND((G331-B331)*1440,0))</f>
        <v/>
      </c>
      <c r="I331">
        <f>IF(H331="","",IF(H331&lt;=Dashboard!$B$6,"Sim","Não"))</f>
        <v/>
      </c>
      <c r="J331" s="25" t="n"/>
      <c r="K331" s="25" t="n"/>
      <c r="L331" s="26" t="n"/>
      <c r="M331" s="25" t="n"/>
    </row>
    <row r="332">
      <c r="A332" s="23" t="n"/>
      <c r="B332" s="24" t="n"/>
      <c r="C332" s="25" t="n"/>
      <c r="D332" s="25" t="n"/>
      <c r="E332" s="25" t="n"/>
      <c r="F332" s="25" t="n"/>
      <c r="G332" s="24" t="n"/>
      <c r="H332">
        <f>IF(OR(B332="",G332=""),"",ROUND((G332-B332)*1440,0))</f>
        <v/>
      </c>
      <c r="I332">
        <f>IF(H332="","",IF(H332&lt;=Dashboard!$B$6,"Sim","Não"))</f>
        <v/>
      </c>
      <c r="J332" s="25" t="n"/>
      <c r="K332" s="25" t="n"/>
      <c r="L332" s="26" t="n"/>
      <c r="M332" s="25" t="n"/>
    </row>
    <row r="333">
      <c r="A333" s="23" t="n"/>
      <c r="B333" s="24" t="n"/>
      <c r="C333" s="25" t="n"/>
      <c r="D333" s="25" t="n"/>
      <c r="E333" s="25" t="n"/>
      <c r="F333" s="25" t="n"/>
      <c r="G333" s="24" t="n"/>
      <c r="H333">
        <f>IF(OR(B333="",G333=""),"",ROUND((G333-B333)*1440,0))</f>
        <v/>
      </c>
      <c r="I333">
        <f>IF(H333="","",IF(H333&lt;=Dashboard!$B$6,"Sim","Não"))</f>
        <v/>
      </c>
      <c r="J333" s="25" t="n"/>
      <c r="K333" s="25" t="n"/>
      <c r="L333" s="26" t="n"/>
      <c r="M333" s="25" t="n"/>
    </row>
    <row r="334">
      <c r="A334" s="23" t="n"/>
      <c r="B334" s="24" t="n"/>
      <c r="C334" s="25" t="n"/>
      <c r="D334" s="25" t="n"/>
      <c r="E334" s="25" t="n"/>
      <c r="F334" s="25" t="n"/>
      <c r="G334" s="24" t="n"/>
      <c r="H334">
        <f>IF(OR(B334="",G334=""),"",ROUND((G334-B334)*1440,0))</f>
        <v/>
      </c>
      <c r="I334">
        <f>IF(H334="","",IF(H334&lt;=Dashboard!$B$6,"Sim","Não"))</f>
        <v/>
      </c>
      <c r="J334" s="25" t="n"/>
      <c r="K334" s="25" t="n"/>
      <c r="L334" s="26" t="n"/>
      <c r="M334" s="25" t="n"/>
    </row>
    <row r="335">
      <c r="A335" s="23" t="n"/>
      <c r="B335" s="24" t="n"/>
      <c r="C335" s="25" t="n"/>
      <c r="D335" s="25" t="n"/>
      <c r="E335" s="25" t="n"/>
      <c r="F335" s="25" t="n"/>
      <c r="G335" s="24" t="n"/>
      <c r="H335">
        <f>IF(OR(B335="",G335=""),"",ROUND((G335-B335)*1440,0))</f>
        <v/>
      </c>
      <c r="I335">
        <f>IF(H335="","",IF(H335&lt;=Dashboard!$B$6,"Sim","Não"))</f>
        <v/>
      </c>
      <c r="J335" s="25" t="n"/>
      <c r="K335" s="25" t="n"/>
      <c r="L335" s="26" t="n"/>
      <c r="M335" s="25" t="n"/>
    </row>
    <row r="336">
      <c r="A336" s="23" t="n"/>
      <c r="B336" s="24" t="n"/>
      <c r="C336" s="25" t="n"/>
      <c r="D336" s="25" t="n"/>
      <c r="E336" s="25" t="n"/>
      <c r="F336" s="25" t="n"/>
      <c r="G336" s="24" t="n"/>
      <c r="H336">
        <f>IF(OR(B336="",G336=""),"",ROUND((G336-B336)*1440,0))</f>
        <v/>
      </c>
      <c r="I336">
        <f>IF(H336="","",IF(H336&lt;=Dashboard!$B$6,"Sim","Não"))</f>
        <v/>
      </c>
      <c r="J336" s="25" t="n"/>
      <c r="K336" s="25" t="n"/>
      <c r="L336" s="26" t="n"/>
      <c r="M336" s="25" t="n"/>
    </row>
    <row r="337">
      <c r="A337" s="23" t="n"/>
      <c r="B337" s="24" t="n"/>
      <c r="C337" s="25" t="n"/>
      <c r="D337" s="25" t="n"/>
      <c r="E337" s="25" t="n"/>
      <c r="F337" s="25" t="n"/>
      <c r="G337" s="24" t="n"/>
      <c r="H337">
        <f>IF(OR(B337="",G337=""),"",ROUND((G337-B337)*1440,0))</f>
        <v/>
      </c>
      <c r="I337">
        <f>IF(H337="","",IF(H337&lt;=Dashboard!$B$6,"Sim","Não"))</f>
        <v/>
      </c>
      <c r="J337" s="25" t="n"/>
      <c r="K337" s="25" t="n"/>
      <c r="L337" s="26" t="n"/>
      <c r="M337" s="25" t="n"/>
    </row>
    <row r="338">
      <c r="A338" s="23" t="n"/>
      <c r="B338" s="24" t="n"/>
      <c r="C338" s="25" t="n"/>
      <c r="D338" s="25" t="n"/>
      <c r="E338" s="25" t="n"/>
      <c r="F338" s="25" t="n"/>
      <c r="G338" s="24" t="n"/>
      <c r="H338">
        <f>IF(OR(B338="",G338=""),"",ROUND((G338-B338)*1440,0))</f>
        <v/>
      </c>
      <c r="I338">
        <f>IF(H338="","",IF(H338&lt;=Dashboard!$B$6,"Sim","Não"))</f>
        <v/>
      </c>
      <c r="J338" s="25" t="n"/>
      <c r="K338" s="25" t="n"/>
      <c r="L338" s="26" t="n"/>
      <c r="M338" s="25" t="n"/>
    </row>
    <row r="339">
      <c r="A339" s="23" t="n"/>
      <c r="B339" s="24" t="n"/>
      <c r="C339" s="25" t="n"/>
      <c r="D339" s="25" t="n"/>
      <c r="E339" s="25" t="n"/>
      <c r="F339" s="25" t="n"/>
      <c r="G339" s="24" t="n"/>
      <c r="H339">
        <f>IF(OR(B339="",G339=""),"",ROUND((G339-B339)*1440,0))</f>
        <v/>
      </c>
      <c r="I339">
        <f>IF(H339="","",IF(H339&lt;=Dashboard!$B$6,"Sim","Não"))</f>
        <v/>
      </c>
      <c r="J339" s="25" t="n"/>
      <c r="K339" s="25" t="n"/>
      <c r="L339" s="26" t="n"/>
      <c r="M339" s="25" t="n"/>
    </row>
    <row r="340">
      <c r="A340" s="23" t="n"/>
      <c r="B340" s="24" t="n"/>
      <c r="C340" s="25" t="n"/>
      <c r="D340" s="25" t="n"/>
      <c r="E340" s="25" t="n"/>
      <c r="F340" s="25" t="n"/>
      <c r="G340" s="24" t="n"/>
      <c r="H340">
        <f>IF(OR(B340="",G340=""),"",ROUND((G340-B340)*1440,0))</f>
        <v/>
      </c>
      <c r="I340">
        <f>IF(H340="","",IF(H340&lt;=Dashboard!$B$6,"Sim","Não"))</f>
        <v/>
      </c>
      <c r="J340" s="25" t="n"/>
      <c r="K340" s="25" t="n"/>
      <c r="L340" s="26" t="n"/>
      <c r="M340" s="25" t="n"/>
    </row>
    <row r="341">
      <c r="A341" s="23" t="n"/>
      <c r="B341" s="24" t="n"/>
      <c r="C341" s="25" t="n"/>
      <c r="D341" s="25" t="n"/>
      <c r="E341" s="25" t="n"/>
      <c r="F341" s="25" t="n"/>
      <c r="G341" s="24" t="n"/>
      <c r="H341">
        <f>IF(OR(B341="",G341=""),"",ROUND((G341-B341)*1440,0))</f>
        <v/>
      </c>
      <c r="I341">
        <f>IF(H341="","",IF(H341&lt;=Dashboard!$B$6,"Sim","Não"))</f>
        <v/>
      </c>
      <c r="J341" s="25" t="n"/>
      <c r="K341" s="25" t="n"/>
      <c r="L341" s="26" t="n"/>
      <c r="M341" s="25" t="n"/>
    </row>
    <row r="342">
      <c r="A342" s="23" t="n"/>
      <c r="B342" s="24" t="n"/>
      <c r="C342" s="25" t="n"/>
      <c r="D342" s="25" t="n"/>
      <c r="E342" s="25" t="n"/>
      <c r="F342" s="25" t="n"/>
      <c r="G342" s="24" t="n"/>
      <c r="H342">
        <f>IF(OR(B342="",G342=""),"",ROUND((G342-B342)*1440,0))</f>
        <v/>
      </c>
      <c r="I342">
        <f>IF(H342="","",IF(H342&lt;=Dashboard!$B$6,"Sim","Não"))</f>
        <v/>
      </c>
      <c r="J342" s="25" t="n"/>
      <c r="K342" s="25" t="n"/>
      <c r="L342" s="26" t="n"/>
      <c r="M342" s="25" t="n"/>
    </row>
    <row r="343">
      <c r="A343" s="23" t="n"/>
      <c r="B343" s="24" t="n"/>
      <c r="C343" s="25" t="n"/>
      <c r="D343" s="25" t="n"/>
      <c r="E343" s="25" t="n"/>
      <c r="F343" s="25" t="n"/>
      <c r="G343" s="24" t="n"/>
      <c r="H343">
        <f>IF(OR(B343="",G343=""),"",ROUND((G343-B343)*1440,0))</f>
        <v/>
      </c>
      <c r="I343">
        <f>IF(H343="","",IF(H343&lt;=Dashboard!$B$6,"Sim","Não"))</f>
        <v/>
      </c>
      <c r="J343" s="25" t="n"/>
      <c r="K343" s="25" t="n"/>
      <c r="L343" s="26" t="n"/>
      <c r="M343" s="25" t="n"/>
    </row>
    <row r="344">
      <c r="A344" s="23" t="n"/>
      <c r="B344" s="24" t="n"/>
      <c r="C344" s="25" t="n"/>
      <c r="D344" s="25" t="n"/>
      <c r="E344" s="25" t="n"/>
      <c r="F344" s="25" t="n"/>
      <c r="G344" s="24" t="n"/>
      <c r="H344">
        <f>IF(OR(B344="",G344=""),"",ROUND((G344-B344)*1440,0))</f>
        <v/>
      </c>
      <c r="I344">
        <f>IF(H344="","",IF(H344&lt;=Dashboard!$B$6,"Sim","Não"))</f>
        <v/>
      </c>
      <c r="J344" s="25" t="n"/>
      <c r="K344" s="25" t="n"/>
      <c r="L344" s="26" t="n"/>
      <c r="M344" s="25" t="n"/>
    </row>
    <row r="345">
      <c r="A345" s="23" t="n"/>
      <c r="B345" s="24" t="n"/>
      <c r="C345" s="25" t="n"/>
      <c r="D345" s="25" t="n"/>
      <c r="E345" s="25" t="n"/>
      <c r="F345" s="25" t="n"/>
      <c r="G345" s="24" t="n"/>
      <c r="H345">
        <f>IF(OR(B345="",G345=""),"",ROUND((G345-B345)*1440,0))</f>
        <v/>
      </c>
      <c r="I345">
        <f>IF(H345="","",IF(H345&lt;=Dashboard!$B$6,"Sim","Não"))</f>
        <v/>
      </c>
      <c r="J345" s="25" t="n"/>
      <c r="K345" s="25" t="n"/>
      <c r="L345" s="26" t="n"/>
      <c r="M345" s="25" t="n"/>
    </row>
    <row r="346">
      <c r="A346" s="23" t="n"/>
      <c r="B346" s="24" t="n"/>
      <c r="C346" s="25" t="n"/>
      <c r="D346" s="25" t="n"/>
      <c r="E346" s="25" t="n"/>
      <c r="F346" s="25" t="n"/>
      <c r="G346" s="24" t="n"/>
      <c r="H346">
        <f>IF(OR(B346="",G346=""),"",ROUND((G346-B346)*1440,0))</f>
        <v/>
      </c>
      <c r="I346">
        <f>IF(H346="","",IF(H346&lt;=Dashboard!$B$6,"Sim","Não"))</f>
        <v/>
      </c>
      <c r="J346" s="25" t="n"/>
      <c r="K346" s="25" t="n"/>
      <c r="L346" s="26" t="n"/>
      <c r="M346" s="25" t="n"/>
    </row>
    <row r="347">
      <c r="A347" s="23" t="n"/>
      <c r="B347" s="24" t="n"/>
      <c r="C347" s="25" t="n"/>
      <c r="D347" s="25" t="n"/>
      <c r="E347" s="25" t="n"/>
      <c r="F347" s="25" t="n"/>
      <c r="G347" s="24" t="n"/>
      <c r="H347">
        <f>IF(OR(B347="",G347=""),"",ROUND((G347-B347)*1440,0))</f>
        <v/>
      </c>
      <c r="I347">
        <f>IF(H347="","",IF(H347&lt;=Dashboard!$B$6,"Sim","Não"))</f>
        <v/>
      </c>
      <c r="J347" s="25" t="n"/>
      <c r="K347" s="25" t="n"/>
      <c r="L347" s="26" t="n"/>
      <c r="M347" s="25" t="n"/>
    </row>
    <row r="348">
      <c r="A348" s="23" t="n"/>
      <c r="B348" s="24" t="n"/>
      <c r="C348" s="25" t="n"/>
      <c r="D348" s="25" t="n"/>
      <c r="E348" s="25" t="n"/>
      <c r="F348" s="25" t="n"/>
      <c r="G348" s="24" t="n"/>
      <c r="H348">
        <f>IF(OR(B348="",G348=""),"",ROUND((G348-B348)*1440,0))</f>
        <v/>
      </c>
      <c r="I348">
        <f>IF(H348="","",IF(H348&lt;=Dashboard!$B$6,"Sim","Não"))</f>
        <v/>
      </c>
      <c r="J348" s="25" t="n"/>
      <c r="K348" s="25" t="n"/>
      <c r="L348" s="26" t="n"/>
      <c r="M348" s="25" t="n"/>
    </row>
    <row r="349">
      <c r="A349" s="23" t="n"/>
      <c r="B349" s="24" t="n"/>
      <c r="C349" s="25" t="n"/>
      <c r="D349" s="25" t="n"/>
      <c r="E349" s="25" t="n"/>
      <c r="F349" s="25" t="n"/>
      <c r="G349" s="24" t="n"/>
      <c r="H349">
        <f>IF(OR(B349="",G349=""),"",ROUND((G349-B349)*1440,0))</f>
        <v/>
      </c>
      <c r="I349">
        <f>IF(H349="","",IF(H349&lt;=Dashboard!$B$6,"Sim","Não"))</f>
        <v/>
      </c>
      <c r="J349" s="25" t="n"/>
      <c r="K349" s="25" t="n"/>
      <c r="L349" s="26" t="n"/>
      <c r="M349" s="25" t="n"/>
    </row>
    <row r="350">
      <c r="A350" s="23" t="n"/>
      <c r="B350" s="24" t="n"/>
      <c r="C350" s="25" t="n"/>
      <c r="D350" s="25" t="n"/>
      <c r="E350" s="25" t="n"/>
      <c r="F350" s="25" t="n"/>
      <c r="G350" s="24" t="n"/>
      <c r="H350">
        <f>IF(OR(B350="",G350=""),"",ROUND((G350-B350)*1440,0))</f>
        <v/>
      </c>
      <c r="I350">
        <f>IF(H350="","",IF(H350&lt;=Dashboard!$B$6,"Sim","Não"))</f>
        <v/>
      </c>
      <c r="J350" s="25" t="n"/>
      <c r="K350" s="25" t="n"/>
      <c r="L350" s="26" t="n"/>
      <c r="M350" s="25" t="n"/>
    </row>
    <row r="351">
      <c r="A351" s="23" t="n"/>
      <c r="B351" s="24" t="n"/>
      <c r="C351" s="25" t="n"/>
      <c r="D351" s="25" t="n"/>
      <c r="E351" s="25" t="n"/>
      <c r="F351" s="25" t="n"/>
      <c r="G351" s="24" t="n"/>
      <c r="H351">
        <f>IF(OR(B351="",G351=""),"",ROUND((G351-B351)*1440,0))</f>
        <v/>
      </c>
      <c r="I351">
        <f>IF(H351="","",IF(H351&lt;=Dashboard!$B$6,"Sim","Não"))</f>
        <v/>
      </c>
      <c r="J351" s="25" t="n"/>
      <c r="K351" s="25" t="n"/>
      <c r="L351" s="26" t="n"/>
      <c r="M351" s="25" t="n"/>
    </row>
    <row r="352">
      <c r="A352" s="23" t="n"/>
      <c r="B352" s="24" t="n"/>
      <c r="C352" s="25" t="n"/>
      <c r="D352" s="25" t="n"/>
      <c r="E352" s="25" t="n"/>
      <c r="F352" s="25" t="n"/>
      <c r="G352" s="24" t="n"/>
      <c r="H352">
        <f>IF(OR(B352="",G352=""),"",ROUND((G352-B352)*1440,0))</f>
        <v/>
      </c>
      <c r="I352">
        <f>IF(H352="","",IF(H352&lt;=Dashboard!$B$6,"Sim","Não"))</f>
        <v/>
      </c>
      <c r="J352" s="25" t="n"/>
      <c r="K352" s="25" t="n"/>
      <c r="L352" s="26" t="n"/>
      <c r="M352" s="25" t="n"/>
    </row>
    <row r="353">
      <c r="A353" s="23" t="n"/>
      <c r="B353" s="24" t="n"/>
      <c r="C353" s="25" t="n"/>
      <c r="D353" s="25" t="n"/>
      <c r="E353" s="25" t="n"/>
      <c r="F353" s="25" t="n"/>
      <c r="G353" s="24" t="n"/>
      <c r="H353">
        <f>IF(OR(B353="",G353=""),"",ROUND((G353-B353)*1440,0))</f>
        <v/>
      </c>
      <c r="I353">
        <f>IF(H353="","",IF(H353&lt;=Dashboard!$B$6,"Sim","Não"))</f>
        <v/>
      </c>
      <c r="J353" s="25" t="n"/>
      <c r="K353" s="25" t="n"/>
      <c r="L353" s="26" t="n"/>
      <c r="M353" s="25" t="n"/>
    </row>
    <row r="354">
      <c r="A354" s="23" t="n"/>
      <c r="B354" s="24" t="n"/>
      <c r="C354" s="25" t="n"/>
      <c r="D354" s="25" t="n"/>
      <c r="E354" s="25" t="n"/>
      <c r="F354" s="25" t="n"/>
      <c r="G354" s="24" t="n"/>
      <c r="H354">
        <f>IF(OR(B354="",G354=""),"",ROUND((G354-B354)*1440,0))</f>
        <v/>
      </c>
      <c r="I354">
        <f>IF(H354="","",IF(H354&lt;=Dashboard!$B$6,"Sim","Não"))</f>
        <v/>
      </c>
      <c r="J354" s="25" t="n"/>
      <c r="K354" s="25" t="n"/>
      <c r="L354" s="26" t="n"/>
      <c r="M354" s="25" t="n"/>
    </row>
    <row r="355">
      <c r="A355" s="23" t="n"/>
      <c r="B355" s="24" t="n"/>
      <c r="C355" s="25" t="n"/>
      <c r="D355" s="25" t="n"/>
      <c r="E355" s="25" t="n"/>
      <c r="F355" s="25" t="n"/>
      <c r="G355" s="24" t="n"/>
      <c r="H355">
        <f>IF(OR(B355="",G355=""),"",ROUND((G355-B355)*1440,0))</f>
        <v/>
      </c>
      <c r="I355">
        <f>IF(H355="","",IF(H355&lt;=Dashboard!$B$6,"Sim","Não"))</f>
        <v/>
      </c>
      <c r="J355" s="25" t="n"/>
      <c r="K355" s="25" t="n"/>
      <c r="L355" s="26" t="n"/>
      <c r="M355" s="25" t="n"/>
    </row>
    <row r="356">
      <c r="A356" s="23" t="n"/>
      <c r="B356" s="24" t="n"/>
      <c r="C356" s="25" t="n"/>
      <c r="D356" s="25" t="n"/>
      <c r="E356" s="25" t="n"/>
      <c r="F356" s="25" t="n"/>
      <c r="G356" s="24" t="n"/>
      <c r="H356">
        <f>IF(OR(B356="",G356=""),"",ROUND((G356-B356)*1440,0))</f>
        <v/>
      </c>
      <c r="I356">
        <f>IF(H356="","",IF(H356&lt;=Dashboard!$B$6,"Sim","Não"))</f>
        <v/>
      </c>
      <c r="J356" s="25" t="n"/>
      <c r="K356" s="25" t="n"/>
      <c r="L356" s="26" t="n"/>
      <c r="M356" s="25" t="n"/>
    </row>
    <row r="357">
      <c r="A357" s="23" t="n"/>
      <c r="B357" s="24" t="n"/>
      <c r="C357" s="25" t="n"/>
      <c r="D357" s="25" t="n"/>
      <c r="E357" s="25" t="n"/>
      <c r="F357" s="25" t="n"/>
      <c r="G357" s="24" t="n"/>
      <c r="H357">
        <f>IF(OR(B357="",G357=""),"",ROUND((G357-B357)*1440,0))</f>
        <v/>
      </c>
      <c r="I357">
        <f>IF(H357="","",IF(H357&lt;=Dashboard!$B$6,"Sim","Não"))</f>
        <v/>
      </c>
      <c r="J357" s="25" t="n"/>
      <c r="K357" s="25" t="n"/>
      <c r="L357" s="26" t="n"/>
      <c r="M357" s="25" t="n"/>
    </row>
    <row r="358">
      <c r="A358" s="23" t="n"/>
      <c r="B358" s="24" t="n"/>
      <c r="C358" s="25" t="n"/>
      <c r="D358" s="25" t="n"/>
      <c r="E358" s="25" t="n"/>
      <c r="F358" s="25" t="n"/>
      <c r="G358" s="24" t="n"/>
      <c r="H358">
        <f>IF(OR(B358="",G358=""),"",ROUND((G358-B358)*1440,0))</f>
        <v/>
      </c>
      <c r="I358">
        <f>IF(H358="","",IF(H358&lt;=Dashboard!$B$6,"Sim","Não"))</f>
        <v/>
      </c>
      <c r="J358" s="25" t="n"/>
      <c r="K358" s="25" t="n"/>
      <c r="L358" s="26" t="n"/>
      <c r="M358" s="25" t="n"/>
    </row>
    <row r="359">
      <c r="A359" s="23" t="n"/>
      <c r="B359" s="24" t="n"/>
      <c r="C359" s="25" t="n"/>
      <c r="D359" s="25" t="n"/>
      <c r="E359" s="25" t="n"/>
      <c r="F359" s="25" t="n"/>
      <c r="G359" s="24" t="n"/>
      <c r="H359">
        <f>IF(OR(B359="",G359=""),"",ROUND((G359-B359)*1440,0))</f>
        <v/>
      </c>
      <c r="I359">
        <f>IF(H359="","",IF(H359&lt;=Dashboard!$B$6,"Sim","Não"))</f>
        <v/>
      </c>
      <c r="J359" s="25" t="n"/>
      <c r="K359" s="25" t="n"/>
      <c r="L359" s="26" t="n"/>
      <c r="M359" s="25" t="n"/>
    </row>
    <row r="360">
      <c r="A360" s="23" t="n"/>
      <c r="B360" s="24" t="n"/>
      <c r="C360" s="25" t="n"/>
      <c r="D360" s="25" t="n"/>
      <c r="E360" s="25" t="n"/>
      <c r="F360" s="25" t="n"/>
      <c r="G360" s="24" t="n"/>
      <c r="H360">
        <f>IF(OR(B360="",G360=""),"",ROUND((G360-B360)*1440,0))</f>
        <v/>
      </c>
      <c r="I360">
        <f>IF(H360="","",IF(H360&lt;=Dashboard!$B$6,"Sim","Não"))</f>
        <v/>
      </c>
      <c r="J360" s="25" t="n"/>
      <c r="K360" s="25" t="n"/>
      <c r="L360" s="26" t="n"/>
      <c r="M360" s="25" t="n"/>
    </row>
    <row r="361">
      <c r="A361" s="23" t="n"/>
      <c r="B361" s="24" t="n"/>
      <c r="C361" s="25" t="n"/>
      <c r="D361" s="25" t="n"/>
      <c r="E361" s="25" t="n"/>
      <c r="F361" s="25" t="n"/>
      <c r="G361" s="24" t="n"/>
      <c r="H361">
        <f>IF(OR(B361="",G361=""),"",ROUND((G361-B361)*1440,0))</f>
        <v/>
      </c>
      <c r="I361">
        <f>IF(H361="","",IF(H361&lt;=Dashboard!$B$6,"Sim","Não"))</f>
        <v/>
      </c>
      <c r="J361" s="25" t="n"/>
      <c r="K361" s="25" t="n"/>
      <c r="L361" s="26" t="n"/>
      <c r="M361" s="25" t="n"/>
    </row>
    <row r="362">
      <c r="A362" s="23" t="n"/>
      <c r="B362" s="24" t="n"/>
      <c r="C362" s="25" t="n"/>
      <c r="D362" s="25" t="n"/>
      <c r="E362" s="25" t="n"/>
      <c r="F362" s="25" t="n"/>
      <c r="G362" s="24" t="n"/>
      <c r="H362">
        <f>IF(OR(B362="",G362=""),"",ROUND((G362-B362)*1440,0))</f>
        <v/>
      </c>
      <c r="I362">
        <f>IF(H362="","",IF(H362&lt;=Dashboard!$B$6,"Sim","Não"))</f>
        <v/>
      </c>
      <c r="J362" s="25" t="n"/>
      <c r="K362" s="25" t="n"/>
      <c r="L362" s="26" t="n"/>
      <c r="M362" s="25" t="n"/>
    </row>
    <row r="363">
      <c r="A363" s="23" t="n"/>
      <c r="B363" s="24" t="n"/>
      <c r="C363" s="25" t="n"/>
      <c r="D363" s="25" t="n"/>
      <c r="E363" s="25" t="n"/>
      <c r="F363" s="25" t="n"/>
      <c r="G363" s="24" t="n"/>
      <c r="H363">
        <f>IF(OR(B363="",G363=""),"",ROUND((G363-B363)*1440,0))</f>
        <v/>
      </c>
      <c r="I363">
        <f>IF(H363="","",IF(H363&lt;=Dashboard!$B$6,"Sim","Não"))</f>
        <v/>
      </c>
      <c r="J363" s="25" t="n"/>
      <c r="K363" s="25" t="n"/>
      <c r="L363" s="26" t="n"/>
      <c r="M363" s="25" t="n"/>
    </row>
    <row r="364">
      <c r="A364" s="23" t="n"/>
      <c r="B364" s="24" t="n"/>
      <c r="C364" s="25" t="n"/>
      <c r="D364" s="25" t="n"/>
      <c r="E364" s="25" t="n"/>
      <c r="F364" s="25" t="n"/>
      <c r="G364" s="24" t="n"/>
      <c r="H364">
        <f>IF(OR(B364="",G364=""),"",ROUND((G364-B364)*1440,0))</f>
        <v/>
      </c>
      <c r="I364">
        <f>IF(H364="","",IF(H364&lt;=Dashboard!$B$6,"Sim","Não"))</f>
        <v/>
      </c>
      <c r="J364" s="25" t="n"/>
      <c r="K364" s="25" t="n"/>
      <c r="L364" s="26" t="n"/>
      <c r="M364" s="25" t="n"/>
    </row>
    <row r="365">
      <c r="A365" s="23" t="n"/>
      <c r="B365" s="24" t="n"/>
      <c r="C365" s="25" t="n"/>
      <c r="D365" s="25" t="n"/>
      <c r="E365" s="25" t="n"/>
      <c r="F365" s="25" t="n"/>
      <c r="G365" s="24" t="n"/>
      <c r="H365">
        <f>IF(OR(B365="",G365=""),"",ROUND((G365-B365)*1440,0))</f>
        <v/>
      </c>
      <c r="I365">
        <f>IF(H365="","",IF(H365&lt;=Dashboard!$B$6,"Sim","Não"))</f>
        <v/>
      </c>
      <c r="J365" s="25" t="n"/>
      <c r="K365" s="25" t="n"/>
      <c r="L365" s="26" t="n"/>
      <c r="M365" s="25" t="n"/>
    </row>
    <row r="366">
      <c r="A366" s="23" t="n"/>
      <c r="B366" s="24" t="n"/>
      <c r="C366" s="25" t="n"/>
      <c r="D366" s="25" t="n"/>
      <c r="E366" s="25" t="n"/>
      <c r="F366" s="25" t="n"/>
      <c r="G366" s="24" t="n"/>
      <c r="H366">
        <f>IF(OR(B366="",G366=""),"",ROUND((G366-B366)*1440,0))</f>
        <v/>
      </c>
      <c r="I366">
        <f>IF(H366="","",IF(H366&lt;=Dashboard!$B$6,"Sim","Não"))</f>
        <v/>
      </c>
      <c r="J366" s="25" t="n"/>
      <c r="K366" s="25" t="n"/>
      <c r="L366" s="26" t="n"/>
      <c r="M366" s="25" t="n"/>
    </row>
    <row r="367">
      <c r="A367" s="23" t="n"/>
      <c r="B367" s="24" t="n"/>
      <c r="C367" s="25" t="n"/>
      <c r="D367" s="25" t="n"/>
      <c r="E367" s="25" t="n"/>
      <c r="F367" s="25" t="n"/>
      <c r="G367" s="24" t="n"/>
      <c r="H367">
        <f>IF(OR(B367="",G367=""),"",ROUND((G367-B367)*1440,0))</f>
        <v/>
      </c>
      <c r="I367">
        <f>IF(H367="","",IF(H367&lt;=Dashboard!$B$6,"Sim","Não"))</f>
        <v/>
      </c>
      <c r="J367" s="25" t="n"/>
      <c r="K367" s="25" t="n"/>
      <c r="L367" s="26" t="n"/>
      <c r="M367" s="25" t="n"/>
    </row>
    <row r="368">
      <c r="A368" s="23" t="n"/>
      <c r="B368" s="24" t="n"/>
      <c r="C368" s="25" t="n"/>
      <c r="D368" s="25" t="n"/>
      <c r="E368" s="25" t="n"/>
      <c r="F368" s="25" t="n"/>
      <c r="G368" s="24" t="n"/>
      <c r="H368">
        <f>IF(OR(B368="",G368=""),"",ROUND((G368-B368)*1440,0))</f>
        <v/>
      </c>
      <c r="I368">
        <f>IF(H368="","",IF(H368&lt;=Dashboard!$B$6,"Sim","Não"))</f>
        <v/>
      </c>
      <c r="J368" s="25" t="n"/>
      <c r="K368" s="25" t="n"/>
      <c r="L368" s="26" t="n"/>
      <c r="M368" s="25" t="n"/>
    </row>
    <row r="369">
      <c r="A369" s="23" t="n"/>
      <c r="B369" s="24" t="n"/>
      <c r="C369" s="25" t="n"/>
      <c r="D369" s="25" t="n"/>
      <c r="E369" s="25" t="n"/>
      <c r="F369" s="25" t="n"/>
      <c r="G369" s="24" t="n"/>
      <c r="H369">
        <f>IF(OR(B369="",G369=""),"",ROUND((G369-B369)*1440,0))</f>
        <v/>
      </c>
      <c r="I369">
        <f>IF(H369="","",IF(H369&lt;=Dashboard!$B$6,"Sim","Não"))</f>
        <v/>
      </c>
      <c r="J369" s="25" t="n"/>
      <c r="K369" s="25" t="n"/>
      <c r="L369" s="26" t="n"/>
      <c r="M369" s="25" t="n"/>
    </row>
    <row r="370">
      <c r="A370" s="23" t="n"/>
      <c r="B370" s="24" t="n"/>
      <c r="C370" s="25" t="n"/>
      <c r="D370" s="25" t="n"/>
      <c r="E370" s="25" t="n"/>
      <c r="F370" s="25" t="n"/>
      <c r="G370" s="24" t="n"/>
      <c r="H370">
        <f>IF(OR(B370="",G370=""),"",ROUND((G370-B370)*1440,0))</f>
        <v/>
      </c>
      <c r="I370">
        <f>IF(H370="","",IF(H370&lt;=Dashboard!$B$6,"Sim","Não"))</f>
        <v/>
      </c>
      <c r="J370" s="25" t="n"/>
      <c r="K370" s="25" t="n"/>
      <c r="L370" s="26" t="n"/>
      <c r="M370" s="25" t="n"/>
    </row>
    <row r="371">
      <c r="A371" s="23" t="n"/>
      <c r="B371" s="24" t="n"/>
      <c r="C371" s="25" t="n"/>
      <c r="D371" s="25" t="n"/>
      <c r="E371" s="25" t="n"/>
      <c r="F371" s="25" t="n"/>
      <c r="G371" s="24" t="n"/>
      <c r="H371">
        <f>IF(OR(B371="",G371=""),"",ROUND((G371-B371)*1440,0))</f>
        <v/>
      </c>
      <c r="I371">
        <f>IF(H371="","",IF(H371&lt;=Dashboard!$B$6,"Sim","Não"))</f>
        <v/>
      </c>
      <c r="J371" s="25" t="n"/>
      <c r="K371" s="25" t="n"/>
      <c r="L371" s="26" t="n"/>
      <c r="M371" s="25" t="n"/>
    </row>
    <row r="372">
      <c r="A372" s="23" t="n"/>
      <c r="B372" s="24" t="n"/>
      <c r="C372" s="25" t="n"/>
      <c r="D372" s="25" t="n"/>
      <c r="E372" s="25" t="n"/>
      <c r="F372" s="25" t="n"/>
      <c r="G372" s="24" t="n"/>
      <c r="H372">
        <f>IF(OR(B372="",G372=""),"",ROUND((G372-B372)*1440,0))</f>
        <v/>
      </c>
      <c r="I372">
        <f>IF(H372="","",IF(H372&lt;=Dashboard!$B$6,"Sim","Não"))</f>
        <v/>
      </c>
      <c r="J372" s="25" t="n"/>
      <c r="K372" s="25" t="n"/>
      <c r="L372" s="26" t="n"/>
      <c r="M372" s="25" t="n"/>
    </row>
    <row r="373">
      <c r="A373" s="23" t="n"/>
      <c r="B373" s="24" t="n"/>
      <c r="C373" s="25" t="n"/>
      <c r="D373" s="25" t="n"/>
      <c r="E373" s="25" t="n"/>
      <c r="F373" s="25" t="n"/>
      <c r="G373" s="24" t="n"/>
      <c r="H373">
        <f>IF(OR(B373="",G373=""),"",ROUND((G373-B373)*1440,0))</f>
        <v/>
      </c>
      <c r="I373">
        <f>IF(H373="","",IF(H373&lt;=Dashboard!$B$6,"Sim","Não"))</f>
        <v/>
      </c>
      <c r="J373" s="25" t="n"/>
      <c r="K373" s="25" t="n"/>
      <c r="L373" s="26" t="n"/>
      <c r="M373" s="25" t="n"/>
    </row>
    <row r="374">
      <c r="A374" s="23" t="n"/>
      <c r="B374" s="24" t="n"/>
      <c r="C374" s="25" t="n"/>
      <c r="D374" s="25" t="n"/>
      <c r="E374" s="25" t="n"/>
      <c r="F374" s="25" t="n"/>
      <c r="G374" s="24" t="n"/>
      <c r="H374">
        <f>IF(OR(B374="",G374=""),"",ROUND((G374-B374)*1440,0))</f>
        <v/>
      </c>
      <c r="I374">
        <f>IF(H374="","",IF(H374&lt;=Dashboard!$B$6,"Sim","Não"))</f>
        <v/>
      </c>
      <c r="J374" s="25" t="n"/>
      <c r="K374" s="25" t="n"/>
      <c r="L374" s="26" t="n"/>
      <c r="M374" s="25" t="n"/>
    </row>
    <row r="375">
      <c r="A375" s="23" t="n"/>
      <c r="B375" s="24" t="n"/>
      <c r="C375" s="25" t="n"/>
      <c r="D375" s="25" t="n"/>
      <c r="E375" s="25" t="n"/>
      <c r="F375" s="25" t="n"/>
      <c r="G375" s="24" t="n"/>
      <c r="H375">
        <f>IF(OR(B375="",G375=""),"",ROUND((G375-B375)*1440,0))</f>
        <v/>
      </c>
      <c r="I375">
        <f>IF(H375="","",IF(H375&lt;=Dashboard!$B$6,"Sim","Não"))</f>
        <v/>
      </c>
      <c r="J375" s="25" t="n"/>
      <c r="K375" s="25" t="n"/>
      <c r="L375" s="26" t="n"/>
      <c r="M375" s="25" t="n"/>
    </row>
    <row r="376">
      <c r="A376" s="23" t="n"/>
      <c r="B376" s="24" t="n"/>
      <c r="C376" s="25" t="n"/>
      <c r="D376" s="25" t="n"/>
      <c r="E376" s="25" t="n"/>
      <c r="F376" s="25" t="n"/>
      <c r="G376" s="24" t="n"/>
      <c r="H376">
        <f>IF(OR(B376="",G376=""),"",ROUND((G376-B376)*1440,0))</f>
        <v/>
      </c>
      <c r="I376">
        <f>IF(H376="","",IF(H376&lt;=Dashboard!$B$6,"Sim","Não"))</f>
        <v/>
      </c>
      <c r="J376" s="25" t="n"/>
      <c r="K376" s="25" t="n"/>
      <c r="L376" s="26" t="n"/>
      <c r="M376" s="25" t="n"/>
    </row>
    <row r="377">
      <c r="A377" s="23" t="n"/>
      <c r="B377" s="24" t="n"/>
      <c r="C377" s="25" t="n"/>
      <c r="D377" s="25" t="n"/>
      <c r="E377" s="25" t="n"/>
      <c r="F377" s="25" t="n"/>
      <c r="G377" s="24" t="n"/>
      <c r="H377">
        <f>IF(OR(B377="",G377=""),"",ROUND((G377-B377)*1440,0))</f>
        <v/>
      </c>
      <c r="I377">
        <f>IF(H377="","",IF(H377&lt;=Dashboard!$B$6,"Sim","Não"))</f>
        <v/>
      </c>
      <c r="J377" s="25" t="n"/>
      <c r="K377" s="25" t="n"/>
      <c r="L377" s="26" t="n"/>
      <c r="M377" s="25" t="n"/>
    </row>
    <row r="378">
      <c r="A378" s="23" t="n"/>
      <c r="B378" s="24" t="n"/>
      <c r="C378" s="25" t="n"/>
      <c r="D378" s="25" t="n"/>
      <c r="E378" s="25" t="n"/>
      <c r="F378" s="25" t="n"/>
      <c r="G378" s="24" t="n"/>
      <c r="H378">
        <f>IF(OR(B378="",G378=""),"",ROUND((G378-B378)*1440,0))</f>
        <v/>
      </c>
      <c r="I378">
        <f>IF(H378="","",IF(H378&lt;=Dashboard!$B$6,"Sim","Não"))</f>
        <v/>
      </c>
      <c r="J378" s="25" t="n"/>
      <c r="K378" s="25" t="n"/>
      <c r="L378" s="26" t="n"/>
      <c r="M378" s="25" t="n"/>
    </row>
    <row r="379">
      <c r="A379" s="23" t="n"/>
      <c r="B379" s="24" t="n"/>
      <c r="C379" s="25" t="n"/>
      <c r="D379" s="25" t="n"/>
      <c r="E379" s="25" t="n"/>
      <c r="F379" s="25" t="n"/>
      <c r="G379" s="24" t="n"/>
      <c r="H379">
        <f>IF(OR(B379="",G379=""),"",ROUND((G379-B379)*1440,0))</f>
        <v/>
      </c>
      <c r="I379">
        <f>IF(H379="","",IF(H379&lt;=Dashboard!$B$6,"Sim","Não"))</f>
        <v/>
      </c>
      <c r="J379" s="25" t="n"/>
      <c r="K379" s="25" t="n"/>
      <c r="L379" s="26" t="n"/>
      <c r="M379" s="25" t="n"/>
    </row>
    <row r="380">
      <c r="A380" s="23" t="n"/>
      <c r="B380" s="24" t="n"/>
      <c r="C380" s="25" t="n"/>
      <c r="D380" s="25" t="n"/>
      <c r="E380" s="25" t="n"/>
      <c r="F380" s="25" t="n"/>
      <c r="G380" s="24" t="n"/>
      <c r="H380">
        <f>IF(OR(B380="",G380=""),"",ROUND((G380-B380)*1440,0))</f>
        <v/>
      </c>
      <c r="I380">
        <f>IF(H380="","",IF(H380&lt;=Dashboard!$B$6,"Sim","Não"))</f>
        <v/>
      </c>
      <c r="J380" s="25" t="n"/>
      <c r="K380" s="25" t="n"/>
      <c r="L380" s="26" t="n"/>
      <c r="M380" s="25" t="n"/>
    </row>
    <row r="381">
      <c r="A381" s="23" t="n"/>
      <c r="B381" s="24" t="n"/>
      <c r="C381" s="25" t="n"/>
      <c r="D381" s="25" t="n"/>
      <c r="E381" s="25" t="n"/>
      <c r="F381" s="25" t="n"/>
      <c r="G381" s="24" t="n"/>
      <c r="H381">
        <f>IF(OR(B381="",G381=""),"",ROUND((G381-B381)*1440,0))</f>
        <v/>
      </c>
      <c r="I381">
        <f>IF(H381="","",IF(H381&lt;=Dashboard!$B$6,"Sim","Não"))</f>
        <v/>
      </c>
      <c r="J381" s="25" t="n"/>
      <c r="K381" s="25" t="n"/>
      <c r="L381" s="26" t="n"/>
      <c r="M381" s="25" t="n"/>
    </row>
    <row r="382">
      <c r="A382" s="23" t="n"/>
      <c r="B382" s="24" t="n"/>
      <c r="C382" s="25" t="n"/>
      <c r="D382" s="25" t="n"/>
      <c r="E382" s="25" t="n"/>
      <c r="F382" s="25" t="n"/>
      <c r="G382" s="24" t="n"/>
      <c r="H382">
        <f>IF(OR(B382="",G382=""),"",ROUND((G382-B382)*1440,0))</f>
        <v/>
      </c>
      <c r="I382">
        <f>IF(H382="","",IF(H382&lt;=Dashboard!$B$6,"Sim","Não"))</f>
        <v/>
      </c>
      <c r="J382" s="25" t="n"/>
      <c r="K382" s="25" t="n"/>
      <c r="L382" s="26" t="n"/>
      <c r="M382" s="25" t="n"/>
    </row>
    <row r="383">
      <c r="A383" s="23" t="n"/>
      <c r="B383" s="24" t="n"/>
      <c r="C383" s="25" t="n"/>
      <c r="D383" s="25" t="n"/>
      <c r="E383" s="25" t="n"/>
      <c r="F383" s="25" t="n"/>
      <c r="G383" s="24" t="n"/>
      <c r="H383">
        <f>IF(OR(B383="",G383=""),"",ROUND((G383-B383)*1440,0))</f>
        <v/>
      </c>
      <c r="I383">
        <f>IF(H383="","",IF(H383&lt;=Dashboard!$B$6,"Sim","Não"))</f>
        <v/>
      </c>
      <c r="J383" s="25" t="n"/>
      <c r="K383" s="25" t="n"/>
      <c r="L383" s="26" t="n"/>
      <c r="M383" s="25" t="n"/>
    </row>
    <row r="384">
      <c r="A384" s="23" t="n"/>
      <c r="B384" s="24" t="n"/>
      <c r="C384" s="25" t="n"/>
      <c r="D384" s="25" t="n"/>
      <c r="E384" s="25" t="n"/>
      <c r="F384" s="25" t="n"/>
      <c r="G384" s="24" t="n"/>
      <c r="H384">
        <f>IF(OR(B384="",G384=""),"",ROUND((G384-B384)*1440,0))</f>
        <v/>
      </c>
      <c r="I384">
        <f>IF(H384="","",IF(H384&lt;=Dashboard!$B$6,"Sim","Não"))</f>
        <v/>
      </c>
      <c r="J384" s="25" t="n"/>
      <c r="K384" s="25" t="n"/>
      <c r="L384" s="26" t="n"/>
      <c r="M384" s="25" t="n"/>
    </row>
    <row r="385">
      <c r="A385" s="23" t="n"/>
      <c r="B385" s="24" t="n"/>
      <c r="C385" s="25" t="n"/>
      <c r="D385" s="25" t="n"/>
      <c r="E385" s="25" t="n"/>
      <c r="F385" s="25" t="n"/>
      <c r="G385" s="24" t="n"/>
      <c r="H385">
        <f>IF(OR(B385="",G385=""),"",ROUND((G385-B385)*1440,0))</f>
        <v/>
      </c>
      <c r="I385">
        <f>IF(H385="","",IF(H385&lt;=Dashboard!$B$6,"Sim","Não"))</f>
        <v/>
      </c>
      <c r="J385" s="25" t="n"/>
      <c r="K385" s="25" t="n"/>
      <c r="L385" s="26" t="n"/>
      <c r="M385" s="25" t="n"/>
    </row>
    <row r="386">
      <c r="A386" s="23" t="n"/>
      <c r="B386" s="24" t="n"/>
      <c r="C386" s="25" t="n"/>
      <c r="D386" s="25" t="n"/>
      <c r="E386" s="25" t="n"/>
      <c r="F386" s="25" t="n"/>
      <c r="G386" s="24" t="n"/>
      <c r="H386">
        <f>IF(OR(B386="",G386=""),"",ROUND((G386-B386)*1440,0))</f>
        <v/>
      </c>
      <c r="I386">
        <f>IF(H386="","",IF(H386&lt;=Dashboard!$B$6,"Sim","Não"))</f>
        <v/>
      </c>
      <c r="J386" s="25" t="n"/>
      <c r="K386" s="25" t="n"/>
      <c r="L386" s="26" t="n"/>
      <c r="M386" s="25" t="n"/>
    </row>
    <row r="387">
      <c r="A387" s="23" t="n"/>
      <c r="B387" s="24" t="n"/>
      <c r="C387" s="25" t="n"/>
      <c r="D387" s="25" t="n"/>
      <c r="E387" s="25" t="n"/>
      <c r="F387" s="25" t="n"/>
      <c r="G387" s="24" t="n"/>
      <c r="H387">
        <f>IF(OR(B387="",G387=""),"",ROUND((G387-B387)*1440,0))</f>
        <v/>
      </c>
      <c r="I387">
        <f>IF(H387="","",IF(H387&lt;=Dashboard!$B$6,"Sim","Não"))</f>
        <v/>
      </c>
      <c r="J387" s="25" t="n"/>
      <c r="K387" s="25" t="n"/>
      <c r="L387" s="26" t="n"/>
      <c r="M387" s="25" t="n"/>
    </row>
    <row r="388">
      <c r="A388" s="23" t="n"/>
      <c r="B388" s="24" t="n"/>
      <c r="C388" s="25" t="n"/>
      <c r="D388" s="25" t="n"/>
      <c r="E388" s="25" t="n"/>
      <c r="F388" s="25" t="n"/>
      <c r="G388" s="24" t="n"/>
      <c r="H388">
        <f>IF(OR(B388="",G388=""),"",ROUND((G388-B388)*1440,0))</f>
        <v/>
      </c>
      <c r="I388">
        <f>IF(H388="","",IF(H388&lt;=Dashboard!$B$6,"Sim","Não"))</f>
        <v/>
      </c>
      <c r="J388" s="25" t="n"/>
      <c r="K388" s="25" t="n"/>
      <c r="L388" s="26" t="n"/>
      <c r="M388" s="25" t="n"/>
    </row>
    <row r="389">
      <c r="A389" s="23" t="n"/>
      <c r="B389" s="24" t="n"/>
      <c r="C389" s="25" t="n"/>
      <c r="D389" s="25" t="n"/>
      <c r="E389" s="25" t="n"/>
      <c r="F389" s="25" t="n"/>
      <c r="G389" s="24" t="n"/>
      <c r="H389">
        <f>IF(OR(B389="",G389=""),"",ROUND((G389-B389)*1440,0))</f>
        <v/>
      </c>
      <c r="I389">
        <f>IF(H389="","",IF(H389&lt;=Dashboard!$B$6,"Sim","Não"))</f>
        <v/>
      </c>
      <c r="J389" s="25" t="n"/>
      <c r="K389" s="25" t="n"/>
      <c r="L389" s="26" t="n"/>
      <c r="M389" s="25" t="n"/>
    </row>
    <row r="390">
      <c r="A390" s="23" t="n"/>
      <c r="B390" s="24" t="n"/>
      <c r="C390" s="25" t="n"/>
      <c r="D390" s="25" t="n"/>
      <c r="E390" s="25" t="n"/>
      <c r="F390" s="25" t="n"/>
      <c r="G390" s="24" t="n"/>
      <c r="H390">
        <f>IF(OR(B390="",G390=""),"",ROUND((G390-B390)*1440,0))</f>
        <v/>
      </c>
      <c r="I390">
        <f>IF(H390="","",IF(H390&lt;=Dashboard!$B$6,"Sim","Não"))</f>
        <v/>
      </c>
      <c r="J390" s="25" t="n"/>
      <c r="K390" s="25" t="n"/>
      <c r="L390" s="26" t="n"/>
      <c r="M390" s="25" t="n"/>
    </row>
    <row r="391">
      <c r="A391" s="23" t="n"/>
      <c r="B391" s="24" t="n"/>
      <c r="C391" s="25" t="n"/>
      <c r="D391" s="25" t="n"/>
      <c r="E391" s="25" t="n"/>
      <c r="F391" s="25" t="n"/>
      <c r="G391" s="24" t="n"/>
      <c r="H391">
        <f>IF(OR(B391="",G391=""),"",ROUND((G391-B391)*1440,0))</f>
        <v/>
      </c>
      <c r="I391">
        <f>IF(H391="","",IF(H391&lt;=Dashboard!$B$6,"Sim","Não"))</f>
        <v/>
      </c>
      <c r="J391" s="25" t="n"/>
      <c r="K391" s="25" t="n"/>
      <c r="L391" s="26" t="n"/>
      <c r="M391" s="25" t="n"/>
    </row>
    <row r="392">
      <c r="A392" s="23" t="n"/>
      <c r="B392" s="24" t="n"/>
      <c r="C392" s="25" t="n"/>
      <c r="D392" s="25" t="n"/>
      <c r="E392" s="25" t="n"/>
      <c r="F392" s="25" t="n"/>
      <c r="G392" s="24" t="n"/>
      <c r="H392">
        <f>IF(OR(B392="",G392=""),"",ROUND((G392-B392)*1440,0))</f>
        <v/>
      </c>
      <c r="I392">
        <f>IF(H392="","",IF(H392&lt;=Dashboard!$B$6,"Sim","Não"))</f>
        <v/>
      </c>
      <c r="J392" s="25" t="n"/>
      <c r="K392" s="25" t="n"/>
      <c r="L392" s="26" t="n"/>
      <c r="M392" s="25" t="n"/>
    </row>
    <row r="393">
      <c r="A393" s="23" t="n"/>
      <c r="B393" s="24" t="n"/>
      <c r="C393" s="25" t="n"/>
      <c r="D393" s="25" t="n"/>
      <c r="E393" s="25" t="n"/>
      <c r="F393" s="25" t="n"/>
      <c r="G393" s="24" t="n"/>
      <c r="H393">
        <f>IF(OR(B393="",G393=""),"",ROUND((G393-B393)*1440,0))</f>
        <v/>
      </c>
      <c r="I393">
        <f>IF(H393="","",IF(H393&lt;=Dashboard!$B$6,"Sim","Não"))</f>
        <v/>
      </c>
      <c r="J393" s="25" t="n"/>
      <c r="K393" s="25" t="n"/>
      <c r="L393" s="26" t="n"/>
      <c r="M393" s="25" t="n"/>
    </row>
    <row r="394">
      <c r="A394" s="23" t="n"/>
      <c r="B394" s="24" t="n"/>
      <c r="C394" s="25" t="n"/>
      <c r="D394" s="25" t="n"/>
      <c r="E394" s="25" t="n"/>
      <c r="F394" s="25" t="n"/>
      <c r="G394" s="24" t="n"/>
      <c r="H394">
        <f>IF(OR(B394="",G394=""),"",ROUND((G394-B394)*1440,0))</f>
        <v/>
      </c>
      <c r="I394">
        <f>IF(H394="","",IF(H394&lt;=Dashboard!$B$6,"Sim","Não"))</f>
        <v/>
      </c>
      <c r="J394" s="25" t="n"/>
      <c r="K394" s="25" t="n"/>
      <c r="L394" s="26" t="n"/>
      <c r="M394" s="25" t="n"/>
    </row>
    <row r="395">
      <c r="A395" s="23" t="n"/>
      <c r="B395" s="24" t="n"/>
      <c r="C395" s="25" t="n"/>
      <c r="D395" s="25" t="n"/>
      <c r="E395" s="25" t="n"/>
      <c r="F395" s="25" t="n"/>
      <c r="G395" s="24" t="n"/>
      <c r="H395">
        <f>IF(OR(B395="",G395=""),"",ROUND((G395-B395)*1440,0))</f>
        <v/>
      </c>
      <c r="I395">
        <f>IF(H395="","",IF(H395&lt;=Dashboard!$B$6,"Sim","Não"))</f>
        <v/>
      </c>
      <c r="J395" s="25" t="n"/>
      <c r="K395" s="25" t="n"/>
      <c r="L395" s="26" t="n"/>
      <c r="M395" s="25" t="n"/>
    </row>
    <row r="396">
      <c r="A396" s="23" t="n"/>
      <c r="B396" s="24" t="n"/>
      <c r="C396" s="25" t="n"/>
      <c r="D396" s="25" t="n"/>
      <c r="E396" s="25" t="n"/>
      <c r="F396" s="25" t="n"/>
      <c r="G396" s="24" t="n"/>
      <c r="H396">
        <f>IF(OR(B396="",G396=""),"",ROUND((G396-B396)*1440,0))</f>
        <v/>
      </c>
      <c r="I396">
        <f>IF(H396="","",IF(H396&lt;=Dashboard!$B$6,"Sim","Não"))</f>
        <v/>
      </c>
      <c r="J396" s="25" t="n"/>
      <c r="K396" s="25" t="n"/>
      <c r="L396" s="26" t="n"/>
      <c r="M396" s="25" t="n"/>
    </row>
    <row r="397">
      <c r="A397" s="23" t="n"/>
      <c r="B397" s="24" t="n"/>
      <c r="C397" s="25" t="n"/>
      <c r="D397" s="25" t="n"/>
      <c r="E397" s="25" t="n"/>
      <c r="F397" s="25" t="n"/>
      <c r="G397" s="24" t="n"/>
      <c r="H397">
        <f>IF(OR(B397="",G397=""),"",ROUND((G397-B397)*1440,0))</f>
        <v/>
      </c>
      <c r="I397">
        <f>IF(H397="","",IF(H397&lt;=Dashboard!$B$6,"Sim","Não"))</f>
        <v/>
      </c>
      <c r="J397" s="25" t="n"/>
      <c r="K397" s="25" t="n"/>
      <c r="L397" s="26" t="n"/>
      <c r="M397" s="25" t="n"/>
    </row>
    <row r="398">
      <c r="A398" s="23" t="n"/>
      <c r="B398" s="24" t="n"/>
      <c r="C398" s="25" t="n"/>
      <c r="D398" s="25" t="n"/>
      <c r="E398" s="25" t="n"/>
      <c r="F398" s="25" t="n"/>
      <c r="G398" s="24" t="n"/>
      <c r="H398">
        <f>IF(OR(B398="",G398=""),"",ROUND((G398-B398)*1440,0))</f>
        <v/>
      </c>
      <c r="I398">
        <f>IF(H398="","",IF(H398&lt;=Dashboard!$B$6,"Sim","Não"))</f>
        <v/>
      </c>
      <c r="J398" s="25" t="n"/>
      <c r="K398" s="25" t="n"/>
      <c r="L398" s="26" t="n"/>
      <c r="M398" s="25" t="n"/>
    </row>
    <row r="399">
      <c r="A399" s="23" t="n"/>
      <c r="B399" s="24" t="n"/>
      <c r="C399" s="25" t="n"/>
      <c r="D399" s="25" t="n"/>
      <c r="E399" s="25" t="n"/>
      <c r="F399" s="25" t="n"/>
      <c r="G399" s="24" t="n"/>
      <c r="H399">
        <f>IF(OR(B399="",G399=""),"",ROUND((G399-B399)*1440,0))</f>
        <v/>
      </c>
      <c r="I399">
        <f>IF(H399="","",IF(H399&lt;=Dashboard!$B$6,"Sim","Não"))</f>
        <v/>
      </c>
      <c r="J399" s="25" t="n"/>
      <c r="K399" s="25" t="n"/>
      <c r="L399" s="26" t="n"/>
      <c r="M399" s="25" t="n"/>
    </row>
    <row r="400">
      <c r="A400" s="23" t="n"/>
      <c r="B400" s="24" t="n"/>
      <c r="C400" s="25" t="n"/>
      <c r="D400" s="25" t="n"/>
      <c r="E400" s="25" t="n"/>
      <c r="F400" s="25" t="n"/>
      <c r="G400" s="24" t="n"/>
      <c r="H400">
        <f>IF(OR(B400="",G400=""),"",ROUND((G400-B400)*1440,0))</f>
        <v/>
      </c>
      <c r="I400">
        <f>IF(H400="","",IF(H400&lt;=Dashboard!$B$6,"Sim","Não"))</f>
        <v/>
      </c>
      <c r="J400" s="25" t="n"/>
      <c r="K400" s="25" t="n"/>
      <c r="L400" s="26" t="n"/>
      <c r="M400" s="25" t="n"/>
    </row>
  </sheetData>
  <conditionalFormatting sqref="J2:J400">
    <cfRule type="cellIs" priority="1" operator="equal" dxfId="3">
      <formula>"Novo"</formula>
    </cfRule>
    <cfRule type="cellIs" priority="2" operator="equal" dxfId="4">
      <formula>"Em contato"</formula>
    </cfRule>
    <cfRule type="cellIs" priority="3" operator="equal" dxfId="5">
      <formula>"Qualificado"</formula>
    </cfRule>
    <cfRule type="cellIs" priority="4" operator="equal" dxfId="6">
      <formula>"Proposta enviada"</formula>
    </cfRule>
    <cfRule type="cellIs" priority="5" operator="equal" dxfId="0">
      <formula>"Convertido"</formula>
    </cfRule>
    <cfRule type="cellIs" priority="6" operator="equal" dxfId="1">
      <formula>"Perdido"</formula>
    </cfRule>
  </conditionalFormatting>
  <conditionalFormatting sqref="I2:I400">
    <cfRule type="cellIs" priority="7" operator="equal" dxfId="1">
      <formula>"Não"</formula>
    </cfRule>
    <cfRule type="cellIs" priority="8" operator="equal" dxfId="0">
      <formula>"Sim"</formula>
    </cfRule>
  </conditionalFormatting>
  <dataValidations count="2">
    <dataValidation sqref="J2:J400" showDropDown="0" showInputMessage="0" showErrorMessage="0" allowBlank="1" type="list">
      <formula1>"Novo,Em contato,Qualificado,Proposta enviada,Convertido,Perdido"</formula1>
    </dataValidation>
    <dataValidation sqref="F2:F400" showDropDown="0" showInputMessage="0" showErrorMessage="0" allowBlank="1" type="list">
      <formula1>"Pesquisa,Display,Performance Max,Shopping,Vídeo,Remarketing"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6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6" customWidth="1" min="2" max="2"/>
    <col width="12" customWidth="1" min="3" max="3"/>
    <col width="14" customWidth="1" min="4" max="4"/>
    <col width="16" customWidth="1" min="5" max="5"/>
    <col width="12" customWidth="1" min="6" max="6"/>
    <col width="10" customWidth="1" min="7" max="7"/>
    <col width="10" customWidth="1" min="8" max="8"/>
    <col width="12" customWidth="1" min="9" max="9"/>
    <col width="12" customWidth="1" min="10" max="10"/>
    <col width="14" customWidth="1" min="11" max="11"/>
    <col width="14" customWidth="1" min="12" max="12"/>
    <col width="16" customWidth="1" min="13" max="13"/>
    <col width="14" customWidth="1" min="14" max="14"/>
    <col width="10" customWidth="1" min="15" max="15"/>
  </cols>
  <sheetData>
    <row r="1">
      <c r="A1" s="14" t="inlineStr">
        <is>
          <t>Campanha</t>
        </is>
      </c>
      <c r="B1" s="14" t="inlineStr">
        <is>
          <t>Tipo</t>
        </is>
      </c>
      <c r="C1" s="14" t="inlineStr">
        <is>
          <t>Data Início</t>
        </is>
      </c>
      <c r="D1" s="14" t="inlineStr">
        <is>
          <t>Orçamento Diário (R$)</t>
        </is>
      </c>
      <c r="E1" s="14" t="inlineStr">
        <is>
          <t>Investimento no Período (R$)</t>
        </is>
      </c>
      <c r="F1" s="14" t="inlineStr">
        <is>
          <t>Impressões</t>
        </is>
      </c>
      <c r="G1" s="14" t="inlineStr">
        <is>
          <t>Cliques</t>
        </is>
      </c>
      <c r="H1" s="14" t="inlineStr">
        <is>
          <t>CTR (%)</t>
        </is>
      </c>
      <c r="I1" s="14" t="inlineStr">
        <is>
          <t>CPC Médio (R$)</t>
        </is>
      </c>
      <c r="J1" s="14" t="inlineStr">
        <is>
          <t>Leads no CRM</t>
        </is>
      </c>
      <c r="K1" s="14" t="inlineStr">
        <is>
          <t>Custo por Lead - CPL (R$)</t>
        </is>
      </c>
      <c r="L1" s="14" t="inlineStr">
        <is>
          <t>Leads Convertidos em Venda</t>
        </is>
      </c>
      <c r="M1" s="14" t="inlineStr">
        <is>
          <t>Taxa de Conversão Lead→Venda (%)</t>
        </is>
      </c>
      <c r="N1" s="14" t="inlineStr">
        <is>
          <t>Receita Gerada (R$)</t>
        </is>
      </c>
      <c r="O1" s="14" t="inlineStr">
        <is>
          <t>ROI</t>
        </is>
      </c>
    </row>
    <row r="2">
      <c r="A2" s="21" t="inlineStr">
        <is>
          <t>Reforma Residencial - Pesquisa</t>
        </is>
      </c>
      <c r="B2" s="21" t="inlineStr">
        <is>
          <t>Pesquisa</t>
        </is>
      </c>
      <c r="C2" s="19" t="inlineStr">
        <is>
          <t>2026-08-01</t>
        </is>
      </c>
      <c r="D2" s="22" t="n">
        <v>150</v>
      </c>
      <c r="E2" s="22" t="n">
        <v>4200</v>
      </c>
      <c r="F2" s="27" t="n">
        <v>38000</v>
      </c>
      <c r="G2" s="27" t="n">
        <v>1450</v>
      </c>
      <c r="H2" s="28">
        <f>IF(F2=0,"",G2/F2)</f>
        <v/>
      </c>
      <c r="I2" s="29">
        <f>IF(G2=0,"",E2/G2)</f>
        <v/>
      </c>
      <c r="J2" s="21">
        <f>COUNTIF('Entrada de Leads'!$C$2:$C$400,A2)</f>
        <v/>
      </c>
      <c r="K2" s="22">
        <f>IF(J2=0,"",E2/J2)</f>
        <v/>
      </c>
      <c r="L2" s="21">
        <f>COUNTIFS('Entrada de Leads'!$C$2:$C$400,A2,'Entrada de Leads'!$J$2:$J$400,"Convertido")</f>
        <v/>
      </c>
      <c r="M2" s="30">
        <f>IF(J2=0,"",L2/J2)</f>
        <v/>
      </c>
      <c r="N2" s="22" t="n">
        <v>135000</v>
      </c>
      <c r="O2" s="30">
        <f>IF(E2=0,"",(N2-E2)/E2)</f>
        <v/>
      </c>
    </row>
    <row r="3">
      <c r="A3" s="21" t="inlineStr">
        <is>
          <t>Construção do Zero - PMax</t>
        </is>
      </c>
      <c r="B3" s="21" t="inlineStr">
        <is>
          <t>Performance Max</t>
        </is>
      </c>
      <c r="C3" s="19" t="inlineStr">
        <is>
          <t>2026-08-01</t>
        </is>
      </c>
      <c r="D3" s="22" t="n">
        <v>300</v>
      </c>
      <c r="E3" s="22" t="n">
        <v>8600</v>
      </c>
      <c r="F3" s="27" t="n">
        <v>61000</v>
      </c>
      <c r="G3" s="27" t="n">
        <v>2100</v>
      </c>
      <c r="H3" s="28">
        <f>IF(F3=0,"",G3/F3)</f>
        <v/>
      </c>
      <c r="I3" s="29">
        <f>IF(G3=0,"",E3/G3)</f>
        <v/>
      </c>
      <c r="J3" s="21">
        <f>COUNTIF('Entrada de Leads'!$C$2:$C$400,A3)</f>
        <v/>
      </c>
      <c r="K3" s="22">
        <f>IF(J3=0,"",E3/J3)</f>
        <v/>
      </c>
      <c r="L3" s="21">
        <f>COUNTIFS('Entrada de Leads'!$C$2:$C$400,A3,'Entrada de Leads'!$J$2:$J$400,"Convertido")</f>
        <v/>
      </c>
      <c r="M3" s="30">
        <f>IF(J3=0,"",L3/J3)</f>
        <v/>
      </c>
      <c r="N3" s="22" t="n">
        <v>410000</v>
      </c>
      <c r="O3" s="30">
        <f>IF(E3=0,"",(N3-E3)/E3)</f>
        <v/>
      </c>
    </row>
    <row r="4">
      <c r="A4" s="21" t="inlineStr">
        <is>
          <t>Reforma Comercial - Display</t>
        </is>
      </c>
      <c r="B4" s="21" t="inlineStr">
        <is>
          <t>Display</t>
        </is>
      </c>
      <c r="C4" s="19" t="inlineStr">
        <is>
          <t>2026-08-10</t>
        </is>
      </c>
      <c r="D4" s="22" t="n">
        <v>80</v>
      </c>
      <c r="E4" s="22" t="n">
        <v>1900</v>
      </c>
      <c r="F4" s="27" t="n">
        <v>92000</v>
      </c>
      <c r="G4" s="27" t="n">
        <v>980</v>
      </c>
      <c r="H4" s="28">
        <f>IF(F4=0,"",G4/F4)</f>
        <v/>
      </c>
      <c r="I4" s="29">
        <f>IF(G4=0,"",E4/G4)</f>
        <v/>
      </c>
      <c r="J4" s="21">
        <f>COUNTIF('Entrada de Leads'!$C$2:$C$400,A4)</f>
        <v/>
      </c>
      <c r="K4" s="22">
        <f>IF(J4=0,"",E4/J4)</f>
        <v/>
      </c>
      <c r="L4" s="21">
        <f>COUNTIFS('Entrada de Leads'!$C$2:$C$400,A4,'Entrada de Leads'!$J$2:$J$400,"Convertido")</f>
        <v/>
      </c>
      <c r="M4" s="30">
        <f>IF(J4=0,"",L4/J4)</f>
        <v/>
      </c>
      <c r="N4" s="22" t="n">
        <v>0</v>
      </c>
      <c r="O4" s="30">
        <f>IF(E4=0,"",(N4-E4)/E4)</f>
        <v/>
      </c>
    </row>
    <row r="5">
      <c r="A5" s="31" t="n"/>
      <c r="B5" s="31" t="n"/>
      <c r="C5" s="32" t="n"/>
      <c r="D5" s="33" t="n"/>
      <c r="E5" s="33" t="n"/>
      <c r="F5" s="34" t="n"/>
      <c r="G5" s="34" t="n"/>
      <c r="H5" s="35">
        <f>IF(F5=0,"",G5/F5)</f>
        <v/>
      </c>
      <c r="I5" s="36">
        <f>IF(G5=0,"",E5/G5)</f>
        <v/>
      </c>
      <c r="J5" s="13">
        <f>IF(A5="","",COUNTIF('Entrada de Leads'!$C$2:$C$400,A5))</f>
        <v/>
      </c>
      <c r="K5" s="37">
        <f>IF(OR(J5="",J5=0),"",E5/J5)</f>
        <v/>
      </c>
      <c r="L5" s="13">
        <f>IF(A5="","",COUNTIFS('Entrada de Leads'!$C$2:$C$400,A5,'Entrada de Leads'!$J$2:$J$400,"Convertido"))</f>
        <v/>
      </c>
      <c r="M5" s="38">
        <f>IF(OR(J5="",J5=0),"",L5/J5)</f>
        <v/>
      </c>
      <c r="N5" s="33" t="n"/>
      <c r="O5" s="38">
        <f>IF(OR(E5="",E5=0),"",(N5-E5)/E5)</f>
        <v/>
      </c>
    </row>
    <row r="6">
      <c r="A6" s="31" t="n"/>
      <c r="B6" s="31" t="n"/>
      <c r="C6" s="32" t="n"/>
      <c r="D6" s="33" t="n"/>
      <c r="E6" s="33" t="n"/>
      <c r="F6" s="34" t="n"/>
      <c r="G6" s="34" t="n"/>
      <c r="H6" s="35">
        <f>IF(F6=0,"",G6/F6)</f>
        <v/>
      </c>
      <c r="I6" s="36">
        <f>IF(G6=0,"",E6/G6)</f>
        <v/>
      </c>
      <c r="J6" s="13">
        <f>IF(A6="","",COUNTIF('Entrada de Leads'!$C$2:$C$400,A6))</f>
        <v/>
      </c>
      <c r="K6" s="37">
        <f>IF(OR(J6="",J6=0),"",E6/J6)</f>
        <v/>
      </c>
      <c r="L6" s="13">
        <f>IF(A6="","",COUNTIFS('Entrada de Leads'!$C$2:$C$400,A6,'Entrada de Leads'!$J$2:$J$400,"Convertido"))</f>
        <v/>
      </c>
      <c r="M6" s="38">
        <f>IF(OR(J6="",J6=0),"",L6/J6)</f>
        <v/>
      </c>
      <c r="N6" s="33" t="n"/>
      <c r="O6" s="38">
        <f>IF(OR(E6="",E6=0),"",(N6-E6)/E6)</f>
        <v/>
      </c>
    </row>
    <row r="7">
      <c r="A7" s="31" t="n"/>
      <c r="B7" s="31" t="n"/>
      <c r="C7" s="32" t="n"/>
      <c r="D7" s="33" t="n"/>
      <c r="E7" s="33" t="n"/>
      <c r="F7" s="34" t="n"/>
      <c r="G7" s="34" t="n"/>
      <c r="H7" s="35">
        <f>IF(F7=0,"",G7/F7)</f>
        <v/>
      </c>
      <c r="I7" s="36">
        <f>IF(G7=0,"",E7/G7)</f>
        <v/>
      </c>
      <c r="J7" s="13">
        <f>IF(A7="","",COUNTIF('Entrada de Leads'!$C$2:$C$400,A7))</f>
        <v/>
      </c>
      <c r="K7" s="37">
        <f>IF(OR(J7="",J7=0),"",E7/J7)</f>
        <v/>
      </c>
      <c r="L7" s="13">
        <f>IF(A7="","",COUNTIFS('Entrada de Leads'!$C$2:$C$400,A7,'Entrada de Leads'!$J$2:$J$400,"Convertido"))</f>
        <v/>
      </c>
      <c r="M7" s="38">
        <f>IF(OR(J7="",J7=0),"",L7/J7)</f>
        <v/>
      </c>
      <c r="N7" s="33" t="n"/>
      <c r="O7" s="38">
        <f>IF(OR(E7="",E7=0),"",(N7-E7)/E7)</f>
        <v/>
      </c>
    </row>
    <row r="8">
      <c r="A8" s="31" t="n"/>
      <c r="B8" s="31" t="n"/>
      <c r="C8" s="32" t="n"/>
      <c r="D8" s="33" t="n"/>
      <c r="E8" s="33" t="n"/>
      <c r="F8" s="34" t="n"/>
      <c r="G8" s="34" t="n"/>
      <c r="H8" s="35">
        <f>IF(F8=0,"",G8/F8)</f>
        <v/>
      </c>
      <c r="I8" s="36">
        <f>IF(G8=0,"",E8/G8)</f>
        <v/>
      </c>
      <c r="J8" s="13">
        <f>IF(A8="","",COUNTIF('Entrada de Leads'!$C$2:$C$400,A8))</f>
        <v/>
      </c>
      <c r="K8" s="37">
        <f>IF(OR(J8="",J8=0),"",E8/J8)</f>
        <v/>
      </c>
      <c r="L8" s="13">
        <f>IF(A8="","",COUNTIFS('Entrada de Leads'!$C$2:$C$400,A8,'Entrada de Leads'!$J$2:$J$400,"Convertido"))</f>
        <v/>
      </c>
      <c r="M8" s="38">
        <f>IF(OR(J8="",J8=0),"",L8/J8)</f>
        <v/>
      </c>
      <c r="N8" s="33" t="n"/>
      <c r="O8" s="38">
        <f>IF(OR(E8="",E8=0),"",(N8-E8)/E8)</f>
        <v/>
      </c>
    </row>
    <row r="9">
      <c r="A9" s="31" t="n"/>
      <c r="B9" s="31" t="n"/>
      <c r="C9" s="32" t="n"/>
      <c r="D9" s="33" t="n"/>
      <c r="E9" s="33" t="n"/>
      <c r="F9" s="34" t="n"/>
      <c r="G9" s="34" t="n"/>
      <c r="H9" s="35">
        <f>IF(F9=0,"",G9/F9)</f>
        <v/>
      </c>
      <c r="I9" s="36">
        <f>IF(G9=0,"",E9/G9)</f>
        <v/>
      </c>
      <c r="J9" s="13">
        <f>IF(A9="","",COUNTIF('Entrada de Leads'!$C$2:$C$400,A9))</f>
        <v/>
      </c>
      <c r="K9" s="37">
        <f>IF(OR(J9="",J9=0),"",E9/J9)</f>
        <v/>
      </c>
      <c r="L9" s="13">
        <f>IF(A9="","",COUNTIFS('Entrada de Leads'!$C$2:$C$400,A9,'Entrada de Leads'!$J$2:$J$400,"Convertido"))</f>
        <v/>
      </c>
      <c r="M9" s="38">
        <f>IF(OR(J9="",J9=0),"",L9/J9)</f>
        <v/>
      </c>
      <c r="N9" s="33" t="n"/>
      <c r="O9" s="38">
        <f>IF(OR(E9="",E9=0),"",(N9-E9)/E9)</f>
        <v/>
      </c>
    </row>
    <row r="10">
      <c r="A10" s="31" t="n"/>
      <c r="B10" s="31" t="n"/>
      <c r="C10" s="32" t="n"/>
      <c r="D10" s="33" t="n"/>
      <c r="E10" s="33" t="n"/>
      <c r="F10" s="34" t="n"/>
      <c r="G10" s="34" t="n"/>
      <c r="H10" s="35">
        <f>IF(F10=0,"",G10/F10)</f>
        <v/>
      </c>
      <c r="I10" s="36">
        <f>IF(G10=0,"",E10/G10)</f>
        <v/>
      </c>
      <c r="J10" s="13">
        <f>IF(A10="","",COUNTIF('Entrada de Leads'!$C$2:$C$400,A10))</f>
        <v/>
      </c>
      <c r="K10" s="37">
        <f>IF(OR(J10="",J10=0),"",E10/J10)</f>
        <v/>
      </c>
      <c r="L10" s="13">
        <f>IF(A10="","",COUNTIFS('Entrada de Leads'!$C$2:$C$400,A10,'Entrada de Leads'!$J$2:$J$400,"Convertido"))</f>
        <v/>
      </c>
      <c r="M10" s="38">
        <f>IF(OR(J10="",J10=0),"",L10/J10)</f>
        <v/>
      </c>
      <c r="N10" s="33" t="n"/>
      <c r="O10" s="38">
        <f>IF(OR(E10="",E10=0),"",(N10-E10)/E10)</f>
        <v/>
      </c>
    </row>
    <row r="11">
      <c r="A11" s="31" t="n"/>
      <c r="B11" s="31" t="n"/>
      <c r="C11" s="32" t="n"/>
      <c r="D11" s="33" t="n"/>
      <c r="E11" s="33" t="n"/>
      <c r="F11" s="34" t="n"/>
      <c r="G11" s="34" t="n"/>
      <c r="H11" s="35">
        <f>IF(F11=0,"",G11/F11)</f>
        <v/>
      </c>
      <c r="I11" s="36">
        <f>IF(G11=0,"",E11/G11)</f>
        <v/>
      </c>
      <c r="J11" s="13">
        <f>IF(A11="","",COUNTIF('Entrada de Leads'!$C$2:$C$400,A11))</f>
        <v/>
      </c>
      <c r="K11" s="37">
        <f>IF(OR(J11="",J11=0),"",E11/J11)</f>
        <v/>
      </c>
      <c r="L11" s="13">
        <f>IF(A11="","",COUNTIFS('Entrada de Leads'!$C$2:$C$400,A11,'Entrada de Leads'!$J$2:$J$400,"Convertido"))</f>
        <v/>
      </c>
      <c r="M11" s="38">
        <f>IF(OR(J11="",J11=0),"",L11/J11)</f>
        <v/>
      </c>
      <c r="N11" s="33" t="n"/>
      <c r="O11" s="38">
        <f>IF(OR(E11="",E11=0),"",(N11-E11)/E11)</f>
        <v/>
      </c>
    </row>
    <row r="12">
      <c r="A12" s="31" t="n"/>
      <c r="B12" s="31" t="n"/>
      <c r="C12" s="32" t="n"/>
      <c r="D12" s="33" t="n"/>
      <c r="E12" s="33" t="n"/>
      <c r="F12" s="34" t="n"/>
      <c r="G12" s="34" t="n"/>
      <c r="H12" s="35">
        <f>IF(F12=0,"",G12/F12)</f>
        <v/>
      </c>
      <c r="I12" s="36">
        <f>IF(G12=0,"",E12/G12)</f>
        <v/>
      </c>
      <c r="J12" s="13">
        <f>IF(A12="","",COUNTIF('Entrada de Leads'!$C$2:$C$400,A12))</f>
        <v/>
      </c>
      <c r="K12" s="37">
        <f>IF(OR(J12="",J12=0),"",E12/J12)</f>
        <v/>
      </c>
      <c r="L12" s="13">
        <f>IF(A12="","",COUNTIFS('Entrada de Leads'!$C$2:$C$400,A12,'Entrada de Leads'!$J$2:$J$400,"Convertido"))</f>
        <v/>
      </c>
      <c r="M12" s="38">
        <f>IF(OR(J12="",J12=0),"",L12/J12)</f>
        <v/>
      </c>
      <c r="N12" s="33" t="n"/>
      <c r="O12" s="38">
        <f>IF(OR(E12="",E12=0),"",(N12-E12)/E12)</f>
        <v/>
      </c>
    </row>
    <row r="13">
      <c r="A13" s="31" t="n"/>
      <c r="B13" s="31" t="n"/>
      <c r="C13" s="32" t="n"/>
      <c r="D13" s="33" t="n"/>
      <c r="E13" s="33" t="n"/>
      <c r="F13" s="34" t="n"/>
      <c r="G13" s="34" t="n"/>
      <c r="H13" s="35">
        <f>IF(F13=0,"",G13/F13)</f>
        <v/>
      </c>
      <c r="I13" s="36">
        <f>IF(G13=0,"",E13/G13)</f>
        <v/>
      </c>
      <c r="J13" s="13">
        <f>IF(A13="","",COUNTIF('Entrada de Leads'!$C$2:$C$400,A13))</f>
        <v/>
      </c>
      <c r="K13" s="37">
        <f>IF(OR(J13="",J13=0),"",E13/J13)</f>
        <v/>
      </c>
      <c r="L13" s="13">
        <f>IF(A13="","",COUNTIFS('Entrada de Leads'!$C$2:$C$400,A13,'Entrada de Leads'!$J$2:$J$400,"Convertido"))</f>
        <v/>
      </c>
      <c r="M13" s="38">
        <f>IF(OR(J13="",J13=0),"",L13/J13)</f>
        <v/>
      </c>
      <c r="N13" s="33" t="n"/>
      <c r="O13" s="38">
        <f>IF(OR(E13="",E13=0),"",(N13-E13)/E13)</f>
        <v/>
      </c>
    </row>
    <row r="14">
      <c r="A14" s="31" t="n"/>
      <c r="B14" s="31" t="n"/>
      <c r="C14" s="32" t="n"/>
      <c r="D14" s="33" t="n"/>
      <c r="E14" s="33" t="n"/>
      <c r="F14" s="34" t="n"/>
      <c r="G14" s="34" t="n"/>
      <c r="H14" s="35">
        <f>IF(F14=0,"",G14/F14)</f>
        <v/>
      </c>
      <c r="I14" s="36">
        <f>IF(G14=0,"",E14/G14)</f>
        <v/>
      </c>
      <c r="J14" s="13">
        <f>IF(A14="","",COUNTIF('Entrada de Leads'!$C$2:$C$400,A14))</f>
        <v/>
      </c>
      <c r="K14" s="37">
        <f>IF(OR(J14="",J14=0),"",E14/J14)</f>
        <v/>
      </c>
      <c r="L14" s="13">
        <f>IF(A14="","",COUNTIFS('Entrada de Leads'!$C$2:$C$400,A14,'Entrada de Leads'!$J$2:$J$400,"Convertido"))</f>
        <v/>
      </c>
      <c r="M14" s="38">
        <f>IF(OR(J14="",J14=0),"",L14/J14)</f>
        <v/>
      </c>
      <c r="N14" s="33" t="n"/>
      <c r="O14" s="38">
        <f>IF(OR(E14="",E14=0),"",(N14-E14)/E14)</f>
        <v/>
      </c>
    </row>
    <row r="15">
      <c r="A15" s="31" t="n"/>
      <c r="B15" s="31" t="n"/>
      <c r="C15" s="32" t="n"/>
      <c r="D15" s="33" t="n"/>
      <c r="E15" s="33" t="n"/>
      <c r="F15" s="34" t="n"/>
      <c r="G15" s="34" t="n"/>
      <c r="H15" s="35">
        <f>IF(F15=0,"",G15/F15)</f>
        <v/>
      </c>
      <c r="I15" s="36">
        <f>IF(G15=0,"",E15/G15)</f>
        <v/>
      </c>
      <c r="J15" s="13">
        <f>IF(A15="","",COUNTIF('Entrada de Leads'!$C$2:$C$400,A15))</f>
        <v/>
      </c>
      <c r="K15" s="37">
        <f>IF(OR(J15="",J15=0),"",E15/J15)</f>
        <v/>
      </c>
      <c r="L15" s="13">
        <f>IF(A15="","",COUNTIFS('Entrada de Leads'!$C$2:$C$400,A15,'Entrada de Leads'!$J$2:$J$400,"Convertido"))</f>
        <v/>
      </c>
      <c r="M15" s="38">
        <f>IF(OR(J15="",J15=0),"",L15/J15)</f>
        <v/>
      </c>
      <c r="N15" s="33" t="n"/>
      <c r="O15" s="38">
        <f>IF(OR(E15="",E15=0),"",(N15-E15)/E15)</f>
        <v/>
      </c>
    </row>
    <row r="16">
      <c r="A16" s="31" t="n"/>
      <c r="B16" s="31" t="n"/>
      <c r="C16" s="32" t="n"/>
      <c r="D16" s="33" t="n"/>
      <c r="E16" s="33" t="n"/>
      <c r="F16" s="34" t="n"/>
      <c r="G16" s="34" t="n"/>
      <c r="H16" s="35">
        <f>IF(F16=0,"",G16/F16)</f>
        <v/>
      </c>
      <c r="I16" s="36">
        <f>IF(G16=0,"",E16/G16)</f>
        <v/>
      </c>
      <c r="J16" s="13">
        <f>IF(A16="","",COUNTIF('Entrada de Leads'!$C$2:$C$400,A16))</f>
        <v/>
      </c>
      <c r="K16" s="37">
        <f>IF(OR(J16="",J16=0),"",E16/J16)</f>
        <v/>
      </c>
      <c r="L16" s="13">
        <f>IF(A16="","",COUNTIFS('Entrada de Leads'!$C$2:$C$400,A16,'Entrada de Leads'!$J$2:$J$400,"Convertido"))</f>
        <v/>
      </c>
      <c r="M16" s="38">
        <f>IF(OR(J16="",J16=0),"",L16/J16)</f>
        <v/>
      </c>
      <c r="N16" s="33" t="n"/>
      <c r="O16" s="38">
        <f>IF(OR(E16="",E16=0),"",(N16-E16)/E16)</f>
        <v/>
      </c>
    </row>
    <row r="17">
      <c r="A17" s="31" t="n"/>
      <c r="B17" s="31" t="n"/>
      <c r="C17" s="32" t="n"/>
      <c r="D17" s="33" t="n"/>
      <c r="E17" s="33" t="n"/>
      <c r="F17" s="34" t="n"/>
      <c r="G17" s="34" t="n"/>
      <c r="H17" s="35">
        <f>IF(F17=0,"",G17/F17)</f>
        <v/>
      </c>
      <c r="I17" s="36">
        <f>IF(G17=0,"",E17/G17)</f>
        <v/>
      </c>
      <c r="J17" s="13">
        <f>IF(A17="","",COUNTIF('Entrada de Leads'!$C$2:$C$400,A17))</f>
        <v/>
      </c>
      <c r="K17" s="37">
        <f>IF(OR(J17="",J17=0),"",E17/J17)</f>
        <v/>
      </c>
      <c r="L17" s="13">
        <f>IF(A17="","",COUNTIFS('Entrada de Leads'!$C$2:$C$400,A17,'Entrada de Leads'!$J$2:$J$400,"Convertido"))</f>
        <v/>
      </c>
      <c r="M17" s="38">
        <f>IF(OR(J17="",J17=0),"",L17/J17)</f>
        <v/>
      </c>
      <c r="N17" s="33" t="n"/>
      <c r="O17" s="38">
        <f>IF(OR(E17="",E17=0),"",(N17-E17)/E17)</f>
        <v/>
      </c>
    </row>
    <row r="18">
      <c r="A18" s="31" t="n"/>
      <c r="B18" s="31" t="n"/>
      <c r="C18" s="32" t="n"/>
      <c r="D18" s="33" t="n"/>
      <c r="E18" s="33" t="n"/>
      <c r="F18" s="34" t="n"/>
      <c r="G18" s="34" t="n"/>
      <c r="H18" s="35">
        <f>IF(F18=0,"",G18/F18)</f>
        <v/>
      </c>
      <c r="I18" s="36">
        <f>IF(G18=0,"",E18/G18)</f>
        <v/>
      </c>
      <c r="J18" s="13">
        <f>IF(A18="","",COUNTIF('Entrada de Leads'!$C$2:$C$400,A18))</f>
        <v/>
      </c>
      <c r="K18" s="37">
        <f>IF(OR(J18="",J18=0),"",E18/J18)</f>
        <v/>
      </c>
      <c r="L18" s="13">
        <f>IF(A18="","",COUNTIFS('Entrada de Leads'!$C$2:$C$400,A18,'Entrada de Leads'!$J$2:$J$400,"Convertido"))</f>
        <v/>
      </c>
      <c r="M18" s="38">
        <f>IF(OR(J18="",J18=0),"",L18/J18)</f>
        <v/>
      </c>
      <c r="N18" s="33" t="n"/>
      <c r="O18" s="38">
        <f>IF(OR(E18="",E18=0),"",(N18-E18)/E18)</f>
        <v/>
      </c>
    </row>
    <row r="19">
      <c r="A19" s="31" t="n"/>
      <c r="B19" s="31" t="n"/>
      <c r="C19" s="32" t="n"/>
      <c r="D19" s="33" t="n"/>
      <c r="E19" s="33" t="n"/>
      <c r="F19" s="34" t="n"/>
      <c r="G19" s="34" t="n"/>
      <c r="H19" s="35">
        <f>IF(F19=0,"",G19/F19)</f>
        <v/>
      </c>
      <c r="I19" s="36">
        <f>IF(G19=0,"",E19/G19)</f>
        <v/>
      </c>
      <c r="J19" s="13">
        <f>IF(A19="","",COUNTIF('Entrada de Leads'!$C$2:$C$400,A19))</f>
        <v/>
      </c>
      <c r="K19" s="37">
        <f>IF(OR(J19="",J19=0),"",E19/J19)</f>
        <v/>
      </c>
      <c r="L19" s="13">
        <f>IF(A19="","",COUNTIFS('Entrada de Leads'!$C$2:$C$400,A19,'Entrada de Leads'!$J$2:$J$400,"Convertido"))</f>
        <v/>
      </c>
      <c r="M19" s="38">
        <f>IF(OR(J19="",J19=0),"",L19/J19)</f>
        <v/>
      </c>
      <c r="N19" s="33" t="n"/>
      <c r="O19" s="38">
        <f>IF(OR(E19="",E19=0),"",(N19-E19)/E19)</f>
        <v/>
      </c>
    </row>
    <row r="20">
      <c r="A20" s="31" t="n"/>
      <c r="B20" s="31" t="n"/>
      <c r="C20" s="32" t="n"/>
      <c r="D20" s="33" t="n"/>
      <c r="E20" s="33" t="n"/>
      <c r="F20" s="34" t="n"/>
      <c r="G20" s="34" t="n"/>
      <c r="H20" s="35">
        <f>IF(F20=0,"",G20/F20)</f>
        <v/>
      </c>
      <c r="I20" s="36">
        <f>IF(G20=0,"",E20/G20)</f>
        <v/>
      </c>
      <c r="J20" s="13">
        <f>IF(A20="","",COUNTIF('Entrada de Leads'!$C$2:$C$400,A20))</f>
        <v/>
      </c>
      <c r="K20" s="37">
        <f>IF(OR(J20="",J20=0),"",E20/J20)</f>
        <v/>
      </c>
      <c r="L20" s="13">
        <f>IF(A20="","",COUNTIFS('Entrada de Leads'!$C$2:$C$400,A20,'Entrada de Leads'!$J$2:$J$400,"Convertido"))</f>
        <v/>
      </c>
      <c r="M20" s="38">
        <f>IF(OR(J20="",J20=0),"",L20/J20)</f>
        <v/>
      </c>
      <c r="N20" s="33" t="n"/>
      <c r="O20" s="38">
        <f>IF(OR(E20="",E20=0),"",(N20-E20)/E20)</f>
        <v/>
      </c>
    </row>
    <row r="21">
      <c r="A21" s="31" t="n"/>
      <c r="B21" s="31" t="n"/>
      <c r="C21" s="32" t="n"/>
      <c r="D21" s="33" t="n"/>
      <c r="E21" s="33" t="n"/>
      <c r="F21" s="34" t="n"/>
      <c r="G21" s="34" t="n"/>
      <c r="H21" s="35">
        <f>IF(F21=0,"",G21/F21)</f>
        <v/>
      </c>
      <c r="I21" s="36">
        <f>IF(G21=0,"",E21/G21)</f>
        <v/>
      </c>
      <c r="J21" s="13">
        <f>IF(A21="","",COUNTIF('Entrada de Leads'!$C$2:$C$400,A21))</f>
        <v/>
      </c>
      <c r="K21" s="37">
        <f>IF(OR(J21="",J21=0),"",E21/J21)</f>
        <v/>
      </c>
      <c r="L21" s="13">
        <f>IF(A21="","",COUNTIFS('Entrada de Leads'!$C$2:$C$400,A21,'Entrada de Leads'!$J$2:$J$400,"Convertido"))</f>
        <v/>
      </c>
      <c r="M21" s="38">
        <f>IF(OR(J21="",J21=0),"",L21/J21)</f>
        <v/>
      </c>
      <c r="N21" s="33" t="n"/>
      <c r="O21" s="38">
        <f>IF(OR(E21="",E21=0),"",(N21-E21)/E21)</f>
        <v/>
      </c>
    </row>
    <row r="22">
      <c r="A22" s="31" t="n"/>
      <c r="B22" s="31" t="n"/>
      <c r="C22" s="32" t="n"/>
      <c r="D22" s="33" t="n"/>
      <c r="E22" s="33" t="n"/>
      <c r="F22" s="34" t="n"/>
      <c r="G22" s="34" t="n"/>
      <c r="H22" s="35">
        <f>IF(F22=0,"",G22/F22)</f>
        <v/>
      </c>
      <c r="I22" s="36">
        <f>IF(G22=0,"",E22/G22)</f>
        <v/>
      </c>
      <c r="J22" s="13">
        <f>IF(A22="","",COUNTIF('Entrada de Leads'!$C$2:$C$400,A22))</f>
        <v/>
      </c>
      <c r="K22" s="37">
        <f>IF(OR(J22="",J22=0),"",E22/J22)</f>
        <v/>
      </c>
      <c r="L22" s="13">
        <f>IF(A22="","",COUNTIFS('Entrada de Leads'!$C$2:$C$400,A22,'Entrada de Leads'!$J$2:$J$400,"Convertido"))</f>
        <v/>
      </c>
      <c r="M22" s="38">
        <f>IF(OR(J22="",J22=0),"",L22/J22)</f>
        <v/>
      </c>
      <c r="N22" s="33" t="n"/>
      <c r="O22" s="38">
        <f>IF(OR(E22="",E22=0),"",(N22-E22)/E22)</f>
        <v/>
      </c>
    </row>
    <row r="23">
      <c r="A23" s="31" t="n"/>
      <c r="B23" s="31" t="n"/>
      <c r="C23" s="32" t="n"/>
      <c r="D23" s="33" t="n"/>
      <c r="E23" s="33" t="n"/>
      <c r="F23" s="34" t="n"/>
      <c r="G23" s="34" t="n"/>
      <c r="H23" s="35">
        <f>IF(F23=0,"",G23/F23)</f>
        <v/>
      </c>
      <c r="I23" s="36">
        <f>IF(G23=0,"",E23/G23)</f>
        <v/>
      </c>
      <c r="J23" s="13">
        <f>IF(A23="","",COUNTIF('Entrada de Leads'!$C$2:$C$400,A23))</f>
        <v/>
      </c>
      <c r="K23" s="37">
        <f>IF(OR(J23="",J23=0),"",E23/J23)</f>
        <v/>
      </c>
      <c r="L23" s="13">
        <f>IF(A23="","",COUNTIFS('Entrada de Leads'!$C$2:$C$400,A23,'Entrada de Leads'!$J$2:$J$400,"Convertido"))</f>
        <v/>
      </c>
      <c r="M23" s="38">
        <f>IF(OR(J23="",J23=0),"",L23/J23)</f>
        <v/>
      </c>
      <c r="N23" s="33" t="n"/>
      <c r="O23" s="38">
        <f>IF(OR(E23="",E23=0),"",(N23-E23)/E23)</f>
        <v/>
      </c>
    </row>
    <row r="24">
      <c r="A24" s="31" t="n"/>
      <c r="B24" s="31" t="n"/>
      <c r="C24" s="32" t="n"/>
      <c r="D24" s="33" t="n"/>
      <c r="E24" s="33" t="n"/>
      <c r="F24" s="34" t="n"/>
      <c r="G24" s="34" t="n"/>
      <c r="H24" s="35">
        <f>IF(F24=0,"",G24/F24)</f>
        <v/>
      </c>
      <c r="I24" s="36">
        <f>IF(G24=0,"",E24/G24)</f>
        <v/>
      </c>
      <c r="J24" s="13">
        <f>IF(A24="","",COUNTIF('Entrada de Leads'!$C$2:$C$400,A24))</f>
        <v/>
      </c>
      <c r="K24" s="37">
        <f>IF(OR(J24="",J24=0),"",E24/J24)</f>
        <v/>
      </c>
      <c r="L24" s="13">
        <f>IF(A24="","",COUNTIFS('Entrada de Leads'!$C$2:$C$400,A24,'Entrada de Leads'!$J$2:$J$400,"Convertido"))</f>
        <v/>
      </c>
      <c r="M24" s="38">
        <f>IF(OR(J24="",J24=0),"",L24/J24)</f>
        <v/>
      </c>
      <c r="N24" s="33" t="n"/>
      <c r="O24" s="38">
        <f>IF(OR(E24="",E24=0),"",(N24-E24)/E24)</f>
        <v/>
      </c>
    </row>
    <row r="25">
      <c r="A25" s="31" t="n"/>
      <c r="B25" s="31" t="n"/>
      <c r="C25" s="32" t="n"/>
      <c r="D25" s="33" t="n"/>
      <c r="E25" s="33" t="n"/>
      <c r="F25" s="34" t="n"/>
      <c r="G25" s="34" t="n"/>
      <c r="H25" s="35">
        <f>IF(F25=0,"",G25/F25)</f>
        <v/>
      </c>
      <c r="I25" s="36">
        <f>IF(G25=0,"",E25/G25)</f>
        <v/>
      </c>
      <c r="J25" s="13">
        <f>IF(A25="","",COUNTIF('Entrada de Leads'!$C$2:$C$400,A25))</f>
        <v/>
      </c>
      <c r="K25" s="37">
        <f>IF(OR(J25="",J25=0),"",E25/J25)</f>
        <v/>
      </c>
      <c r="L25" s="13">
        <f>IF(A25="","",COUNTIFS('Entrada de Leads'!$C$2:$C$400,A25,'Entrada de Leads'!$J$2:$J$400,"Convertido"))</f>
        <v/>
      </c>
      <c r="M25" s="38">
        <f>IF(OR(J25="",J25=0),"",L25/J25)</f>
        <v/>
      </c>
      <c r="N25" s="33" t="n"/>
      <c r="O25" s="38">
        <f>IF(OR(E25="",E25=0),"",(N25-E25)/E25)</f>
        <v/>
      </c>
    </row>
    <row r="26">
      <c r="A26" s="31" t="n"/>
      <c r="B26" s="31" t="n"/>
      <c r="C26" s="32" t="n"/>
      <c r="D26" s="33" t="n"/>
      <c r="E26" s="33" t="n"/>
      <c r="F26" s="34" t="n"/>
      <c r="G26" s="34" t="n"/>
      <c r="H26" s="35">
        <f>IF(F26=0,"",G26/F26)</f>
        <v/>
      </c>
      <c r="I26" s="36">
        <f>IF(G26=0,"",E26/G26)</f>
        <v/>
      </c>
      <c r="J26" s="13">
        <f>IF(A26="","",COUNTIF('Entrada de Leads'!$C$2:$C$400,A26))</f>
        <v/>
      </c>
      <c r="K26" s="37">
        <f>IF(OR(J26="",J26=0),"",E26/J26)</f>
        <v/>
      </c>
      <c r="L26" s="13">
        <f>IF(A26="","",COUNTIFS('Entrada de Leads'!$C$2:$C$400,A26,'Entrada de Leads'!$J$2:$J$400,"Convertido"))</f>
        <v/>
      </c>
      <c r="M26" s="38">
        <f>IF(OR(J26="",J26=0),"",L26/J26)</f>
        <v/>
      </c>
      <c r="N26" s="33" t="n"/>
      <c r="O26" s="38">
        <f>IF(OR(E26="",E26=0),"",(N26-E26)/E26)</f>
        <v/>
      </c>
    </row>
    <row r="27">
      <c r="A27" s="31" t="n"/>
      <c r="B27" s="31" t="n"/>
      <c r="C27" s="32" t="n"/>
      <c r="D27" s="33" t="n"/>
      <c r="E27" s="33" t="n"/>
      <c r="F27" s="34" t="n"/>
      <c r="G27" s="34" t="n"/>
      <c r="H27" s="35">
        <f>IF(F27=0,"",G27/F27)</f>
        <v/>
      </c>
      <c r="I27" s="36">
        <f>IF(G27=0,"",E27/G27)</f>
        <v/>
      </c>
      <c r="J27" s="13">
        <f>IF(A27="","",COUNTIF('Entrada de Leads'!$C$2:$C$400,A27))</f>
        <v/>
      </c>
      <c r="K27" s="37">
        <f>IF(OR(J27="",J27=0),"",E27/J27)</f>
        <v/>
      </c>
      <c r="L27" s="13">
        <f>IF(A27="","",COUNTIFS('Entrada de Leads'!$C$2:$C$400,A27,'Entrada de Leads'!$J$2:$J$400,"Convertido"))</f>
        <v/>
      </c>
      <c r="M27" s="38">
        <f>IF(OR(J27="",J27=0),"",L27/J27)</f>
        <v/>
      </c>
      <c r="N27" s="33" t="n"/>
      <c r="O27" s="38">
        <f>IF(OR(E27="",E27=0),"",(N27-E27)/E27)</f>
        <v/>
      </c>
    </row>
    <row r="28">
      <c r="A28" s="31" t="n"/>
      <c r="B28" s="31" t="n"/>
      <c r="C28" s="32" t="n"/>
      <c r="D28" s="33" t="n"/>
      <c r="E28" s="33" t="n"/>
      <c r="F28" s="34" t="n"/>
      <c r="G28" s="34" t="n"/>
      <c r="H28" s="35">
        <f>IF(F28=0,"",G28/F28)</f>
        <v/>
      </c>
      <c r="I28" s="36">
        <f>IF(G28=0,"",E28/G28)</f>
        <v/>
      </c>
      <c r="J28" s="13">
        <f>IF(A28="","",COUNTIF('Entrada de Leads'!$C$2:$C$400,A28))</f>
        <v/>
      </c>
      <c r="K28" s="37">
        <f>IF(OR(J28="",J28=0),"",E28/J28)</f>
        <v/>
      </c>
      <c r="L28" s="13">
        <f>IF(A28="","",COUNTIFS('Entrada de Leads'!$C$2:$C$400,A28,'Entrada de Leads'!$J$2:$J$400,"Convertido"))</f>
        <v/>
      </c>
      <c r="M28" s="38">
        <f>IF(OR(J28="",J28=0),"",L28/J28)</f>
        <v/>
      </c>
      <c r="N28" s="33" t="n"/>
      <c r="O28" s="38">
        <f>IF(OR(E28="",E28=0),"",(N28-E28)/E28)</f>
        <v/>
      </c>
    </row>
    <row r="29">
      <c r="A29" s="31" t="n"/>
      <c r="B29" s="31" t="n"/>
      <c r="C29" s="32" t="n"/>
      <c r="D29" s="33" t="n"/>
      <c r="E29" s="33" t="n"/>
      <c r="F29" s="34" t="n"/>
      <c r="G29" s="34" t="n"/>
      <c r="H29" s="35">
        <f>IF(F29=0,"",G29/F29)</f>
        <v/>
      </c>
      <c r="I29" s="36">
        <f>IF(G29=0,"",E29/G29)</f>
        <v/>
      </c>
      <c r="J29" s="13">
        <f>IF(A29="","",COUNTIF('Entrada de Leads'!$C$2:$C$400,A29))</f>
        <v/>
      </c>
      <c r="K29" s="37">
        <f>IF(OR(J29="",J29=0),"",E29/J29)</f>
        <v/>
      </c>
      <c r="L29" s="13">
        <f>IF(A29="","",COUNTIFS('Entrada de Leads'!$C$2:$C$400,A29,'Entrada de Leads'!$J$2:$J$400,"Convertido"))</f>
        <v/>
      </c>
      <c r="M29" s="38">
        <f>IF(OR(J29="",J29=0),"",L29/J29)</f>
        <v/>
      </c>
      <c r="N29" s="33" t="n"/>
      <c r="O29" s="38">
        <f>IF(OR(E29="",E29=0),"",(N29-E29)/E29)</f>
        <v/>
      </c>
    </row>
    <row r="30">
      <c r="A30" s="31" t="n"/>
      <c r="B30" s="31" t="n"/>
      <c r="C30" s="32" t="n"/>
      <c r="D30" s="33" t="n"/>
      <c r="E30" s="33" t="n"/>
      <c r="F30" s="34" t="n"/>
      <c r="G30" s="34" t="n"/>
      <c r="H30" s="35">
        <f>IF(F30=0,"",G30/F30)</f>
        <v/>
      </c>
      <c r="I30" s="36">
        <f>IF(G30=0,"",E30/G30)</f>
        <v/>
      </c>
      <c r="J30" s="13">
        <f>IF(A30="","",COUNTIF('Entrada de Leads'!$C$2:$C$400,A30))</f>
        <v/>
      </c>
      <c r="K30" s="37">
        <f>IF(OR(J30="",J30=0),"",E30/J30)</f>
        <v/>
      </c>
      <c r="L30" s="13">
        <f>IF(A30="","",COUNTIFS('Entrada de Leads'!$C$2:$C$400,A30,'Entrada de Leads'!$J$2:$J$400,"Convertido"))</f>
        <v/>
      </c>
      <c r="M30" s="38">
        <f>IF(OR(J30="",J30=0),"",L30/J30)</f>
        <v/>
      </c>
      <c r="N30" s="33" t="n"/>
      <c r="O30" s="38">
        <f>IF(OR(E30="",E30=0),"",(N30-E30)/E30)</f>
        <v/>
      </c>
    </row>
    <row r="31">
      <c r="A31" s="31" t="n"/>
      <c r="B31" s="31" t="n"/>
      <c r="C31" s="32" t="n"/>
      <c r="D31" s="33" t="n"/>
      <c r="E31" s="33" t="n"/>
      <c r="F31" s="34" t="n"/>
      <c r="G31" s="34" t="n"/>
      <c r="H31" s="35">
        <f>IF(F31=0,"",G31/F31)</f>
        <v/>
      </c>
      <c r="I31" s="36">
        <f>IF(G31=0,"",E31/G31)</f>
        <v/>
      </c>
      <c r="J31" s="13">
        <f>IF(A31="","",COUNTIF('Entrada de Leads'!$C$2:$C$400,A31))</f>
        <v/>
      </c>
      <c r="K31" s="37">
        <f>IF(OR(J31="",J31=0),"",E31/J31)</f>
        <v/>
      </c>
      <c r="L31" s="13">
        <f>IF(A31="","",COUNTIFS('Entrada de Leads'!$C$2:$C$400,A31,'Entrada de Leads'!$J$2:$J$400,"Convertido"))</f>
        <v/>
      </c>
      <c r="M31" s="38">
        <f>IF(OR(J31="",J31=0),"",L31/J31)</f>
        <v/>
      </c>
      <c r="N31" s="33" t="n"/>
      <c r="O31" s="38">
        <f>IF(OR(E31="",E31=0),"",(N31-E31)/E31)</f>
        <v/>
      </c>
    </row>
    <row r="32">
      <c r="A32" s="31" t="n"/>
      <c r="B32" s="31" t="n"/>
      <c r="C32" s="32" t="n"/>
      <c r="D32" s="33" t="n"/>
      <c r="E32" s="33" t="n"/>
      <c r="F32" s="34" t="n"/>
      <c r="G32" s="34" t="n"/>
      <c r="H32" s="35">
        <f>IF(F32=0,"",G32/F32)</f>
        <v/>
      </c>
      <c r="I32" s="36">
        <f>IF(G32=0,"",E32/G32)</f>
        <v/>
      </c>
      <c r="J32" s="13">
        <f>IF(A32="","",COUNTIF('Entrada de Leads'!$C$2:$C$400,A32))</f>
        <v/>
      </c>
      <c r="K32" s="37">
        <f>IF(OR(J32="",J32=0),"",E32/J32)</f>
        <v/>
      </c>
      <c r="L32" s="13">
        <f>IF(A32="","",COUNTIFS('Entrada de Leads'!$C$2:$C$400,A32,'Entrada de Leads'!$J$2:$J$400,"Convertido"))</f>
        <v/>
      </c>
      <c r="M32" s="38">
        <f>IF(OR(J32="",J32=0),"",L32/J32)</f>
        <v/>
      </c>
      <c r="N32" s="33" t="n"/>
      <c r="O32" s="38">
        <f>IF(OR(E32="",E32=0),"",(N32-E32)/E32)</f>
        <v/>
      </c>
    </row>
    <row r="33">
      <c r="A33" s="31" t="n"/>
      <c r="B33" s="31" t="n"/>
      <c r="C33" s="32" t="n"/>
      <c r="D33" s="33" t="n"/>
      <c r="E33" s="33" t="n"/>
      <c r="F33" s="34" t="n"/>
      <c r="G33" s="34" t="n"/>
      <c r="H33" s="35">
        <f>IF(F33=0,"",G33/F33)</f>
        <v/>
      </c>
      <c r="I33" s="36">
        <f>IF(G33=0,"",E33/G33)</f>
        <v/>
      </c>
      <c r="J33" s="13">
        <f>IF(A33="","",COUNTIF('Entrada de Leads'!$C$2:$C$400,A33))</f>
        <v/>
      </c>
      <c r="K33" s="37">
        <f>IF(OR(J33="",J33=0),"",E33/J33)</f>
        <v/>
      </c>
      <c r="L33" s="13">
        <f>IF(A33="","",COUNTIFS('Entrada de Leads'!$C$2:$C$400,A33,'Entrada de Leads'!$J$2:$J$400,"Convertido"))</f>
        <v/>
      </c>
      <c r="M33" s="38">
        <f>IF(OR(J33="",J33=0),"",L33/J33)</f>
        <v/>
      </c>
      <c r="N33" s="33" t="n"/>
      <c r="O33" s="38">
        <f>IF(OR(E33="",E33=0),"",(N33-E33)/E33)</f>
        <v/>
      </c>
    </row>
    <row r="34">
      <c r="A34" s="31" t="n"/>
      <c r="B34" s="31" t="n"/>
      <c r="C34" s="32" t="n"/>
      <c r="D34" s="33" t="n"/>
      <c r="E34" s="33" t="n"/>
      <c r="F34" s="34" t="n"/>
      <c r="G34" s="34" t="n"/>
      <c r="H34" s="35">
        <f>IF(F34=0,"",G34/F34)</f>
        <v/>
      </c>
      <c r="I34" s="36">
        <f>IF(G34=0,"",E34/G34)</f>
        <v/>
      </c>
      <c r="J34" s="13">
        <f>IF(A34="","",COUNTIF('Entrada de Leads'!$C$2:$C$400,A34))</f>
        <v/>
      </c>
      <c r="K34" s="37">
        <f>IF(OR(J34="",J34=0),"",E34/J34)</f>
        <v/>
      </c>
      <c r="L34" s="13">
        <f>IF(A34="","",COUNTIFS('Entrada de Leads'!$C$2:$C$400,A34,'Entrada de Leads'!$J$2:$J$400,"Convertido"))</f>
        <v/>
      </c>
      <c r="M34" s="38">
        <f>IF(OR(J34="",J34=0),"",L34/J34)</f>
        <v/>
      </c>
      <c r="N34" s="33" t="n"/>
      <c r="O34" s="38">
        <f>IF(OR(E34="",E34=0),"",(N34-E34)/E34)</f>
        <v/>
      </c>
    </row>
    <row r="35">
      <c r="A35" s="31" t="n"/>
      <c r="B35" s="31" t="n"/>
      <c r="C35" s="32" t="n"/>
      <c r="D35" s="33" t="n"/>
      <c r="E35" s="33" t="n"/>
      <c r="F35" s="34" t="n"/>
      <c r="G35" s="34" t="n"/>
      <c r="H35" s="35">
        <f>IF(F35=0,"",G35/F35)</f>
        <v/>
      </c>
      <c r="I35" s="36">
        <f>IF(G35=0,"",E35/G35)</f>
        <v/>
      </c>
      <c r="J35" s="13">
        <f>IF(A35="","",COUNTIF('Entrada de Leads'!$C$2:$C$400,A35))</f>
        <v/>
      </c>
      <c r="K35" s="37">
        <f>IF(OR(J35="",J35=0),"",E35/J35)</f>
        <v/>
      </c>
      <c r="L35" s="13">
        <f>IF(A35="","",COUNTIFS('Entrada de Leads'!$C$2:$C$400,A35,'Entrada de Leads'!$J$2:$J$400,"Convertido"))</f>
        <v/>
      </c>
      <c r="M35" s="38">
        <f>IF(OR(J35="",J35=0),"",L35/J35)</f>
        <v/>
      </c>
      <c r="N35" s="33" t="n"/>
      <c r="O35" s="38">
        <f>IF(OR(E35="",E35=0),"",(N35-E35)/E35)</f>
        <v/>
      </c>
    </row>
    <row r="36">
      <c r="A36" s="31" t="n"/>
      <c r="B36" s="31" t="n"/>
      <c r="C36" s="32" t="n"/>
      <c r="D36" s="33" t="n"/>
      <c r="E36" s="33" t="n"/>
      <c r="F36" s="34" t="n"/>
      <c r="G36" s="34" t="n"/>
      <c r="H36" s="35">
        <f>IF(F36=0,"",G36/F36)</f>
        <v/>
      </c>
      <c r="I36" s="36">
        <f>IF(G36=0,"",E36/G36)</f>
        <v/>
      </c>
      <c r="J36" s="13">
        <f>IF(A36="","",COUNTIF('Entrada de Leads'!$C$2:$C$400,A36))</f>
        <v/>
      </c>
      <c r="K36" s="37">
        <f>IF(OR(J36="",J36=0),"",E36/J36)</f>
        <v/>
      </c>
      <c r="L36" s="13">
        <f>IF(A36="","",COUNTIFS('Entrada de Leads'!$C$2:$C$400,A36,'Entrada de Leads'!$J$2:$J$400,"Convertido"))</f>
        <v/>
      </c>
      <c r="M36" s="38">
        <f>IF(OR(J36="",J36=0),"",L36/J36)</f>
        <v/>
      </c>
      <c r="N36" s="33" t="n"/>
      <c r="O36" s="38">
        <f>IF(OR(E36="",E36=0),"",(N36-E36)/E36)</f>
        <v/>
      </c>
    </row>
    <row r="37">
      <c r="A37" s="31" t="n"/>
      <c r="B37" s="31" t="n"/>
      <c r="C37" s="32" t="n"/>
      <c r="D37" s="33" t="n"/>
      <c r="E37" s="33" t="n"/>
      <c r="F37" s="34" t="n"/>
      <c r="G37" s="34" t="n"/>
      <c r="H37" s="35">
        <f>IF(F37=0,"",G37/F37)</f>
        <v/>
      </c>
      <c r="I37" s="36">
        <f>IF(G37=0,"",E37/G37)</f>
        <v/>
      </c>
      <c r="J37" s="13">
        <f>IF(A37="","",COUNTIF('Entrada de Leads'!$C$2:$C$400,A37))</f>
        <v/>
      </c>
      <c r="K37" s="37">
        <f>IF(OR(J37="",J37=0),"",E37/J37)</f>
        <v/>
      </c>
      <c r="L37" s="13">
        <f>IF(A37="","",COUNTIFS('Entrada de Leads'!$C$2:$C$400,A37,'Entrada de Leads'!$J$2:$J$400,"Convertido"))</f>
        <v/>
      </c>
      <c r="M37" s="38">
        <f>IF(OR(J37="",J37=0),"",L37/J37)</f>
        <v/>
      </c>
      <c r="N37" s="33" t="n"/>
      <c r="O37" s="38">
        <f>IF(OR(E37="",E37=0),"",(N37-E37)/E37)</f>
        <v/>
      </c>
    </row>
    <row r="38">
      <c r="A38" s="31" t="n"/>
      <c r="B38" s="31" t="n"/>
      <c r="C38" s="32" t="n"/>
      <c r="D38" s="33" t="n"/>
      <c r="E38" s="33" t="n"/>
      <c r="F38" s="34" t="n"/>
      <c r="G38" s="34" t="n"/>
      <c r="H38" s="35">
        <f>IF(F38=0,"",G38/F38)</f>
        <v/>
      </c>
      <c r="I38" s="36">
        <f>IF(G38=0,"",E38/G38)</f>
        <v/>
      </c>
      <c r="J38" s="13">
        <f>IF(A38="","",COUNTIF('Entrada de Leads'!$C$2:$C$400,A38))</f>
        <v/>
      </c>
      <c r="K38" s="37">
        <f>IF(OR(J38="",J38=0),"",E38/J38)</f>
        <v/>
      </c>
      <c r="L38" s="13">
        <f>IF(A38="","",COUNTIFS('Entrada de Leads'!$C$2:$C$400,A38,'Entrada de Leads'!$J$2:$J$400,"Convertido"))</f>
        <v/>
      </c>
      <c r="M38" s="38">
        <f>IF(OR(J38="",J38=0),"",L38/J38)</f>
        <v/>
      </c>
      <c r="N38" s="33" t="n"/>
      <c r="O38" s="38">
        <f>IF(OR(E38="",E38=0),"",(N38-E38)/E38)</f>
        <v/>
      </c>
    </row>
    <row r="39">
      <c r="A39" s="31" t="n"/>
      <c r="B39" s="31" t="n"/>
      <c r="C39" s="32" t="n"/>
      <c r="D39" s="33" t="n"/>
      <c r="E39" s="33" t="n"/>
      <c r="F39" s="34" t="n"/>
      <c r="G39" s="34" t="n"/>
      <c r="H39" s="35">
        <f>IF(F39=0,"",G39/F39)</f>
        <v/>
      </c>
      <c r="I39" s="36">
        <f>IF(G39=0,"",E39/G39)</f>
        <v/>
      </c>
      <c r="J39" s="13">
        <f>IF(A39="","",COUNTIF('Entrada de Leads'!$C$2:$C$400,A39))</f>
        <v/>
      </c>
      <c r="K39" s="37">
        <f>IF(OR(J39="",J39=0),"",E39/J39)</f>
        <v/>
      </c>
      <c r="L39" s="13">
        <f>IF(A39="","",COUNTIFS('Entrada de Leads'!$C$2:$C$400,A39,'Entrada de Leads'!$J$2:$J$400,"Convertido"))</f>
        <v/>
      </c>
      <c r="M39" s="38">
        <f>IF(OR(J39="",J39=0),"",L39/J39)</f>
        <v/>
      </c>
      <c r="N39" s="33" t="n"/>
      <c r="O39" s="38">
        <f>IF(OR(E39="",E39=0),"",(N39-E39)/E39)</f>
        <v/>
      </c>
    </row>
    <row r="40">
      <c r="A40" s="31" t="n"/>
      <c r="B40" s="31" t="n"/>
      <c r="C40" s="32" t="n"/>
      <c r="D40" s="33" t="n"/>
      <c r="E40" s="33" t="n"/>
      <c r="F40" s="34" t="n"/>
      <c r="G40" s="34" t="n"/>
      <c r="H40" s="35">
        <f>IF(F40=0,"",G40/F40)</f>
        <v/>
      </c>
      <c r="I40" s="36">
        <f>IF(G40=0,"",E40/G40)</f>
        <v/>
      </c>
      <c r="J40" s="13">
        <f>IF(A40="","",COUNTIF('Entrada de Leads'!$C$2:$C$400,A40))</f>
        <v/>
      </c>
      <c r="K40" s="37">
        <f>IF(OR(J40="",J40=0),"",E40/J40)</f>
        <v/>
      </c>
      <c r="L40" s="13">
        <f>IF(A40="","",COUNTIFS('Entrada de Leads'!$C$2:$C$400,A40,'Entrada de Leads'!$J$2:$J$400,"Convertido"))</f>
        <v/>
      </c>
      <c r="M40" s="38">
        <f>IF(OR(J40="",J40=0),"",L40/J40)</f>
        <v/>
      </c>
      <c r="N40" s="33" t="n"/>
      <c r="O40" s="38">
        <f>IF(OR(E40="",E40=0),"",(N40-E40)/E40)</f>
        <v/>
      </c>
    </row>
    <row r="41">
      <c r="A41" s="31" t="n"/>
      <c r="B41" s="31" t="n"/>
      <c r="C41" s="32" t="n"/>
      <c r="D41" s="33" t="n"/>
      <c r="E41" s="33" t="n"/>
      <c r="F41" s="34" t="n"/>
      <c r="G41" s="34" t="n"/>
      <c r="H41" s="35">
        <f>IF(F41=0,"",G41/F41)</f>
        <v/>
      </c>
      <c r="I41" s="36">
        <f>IF(G41=0,"",E41/G41)</f>
        <v/>
      </c>
      <c r="J41" s="13">
        <f>IF(A41="","",COUNTIF('Entrada de Leads'!$C$2:$C$400,A41))</f>
        <v/>
      </c>
      <c r="K41" s="37">
        <f>IF(OR(J41="",J41=0),"",E41/J41)</f>
        <v/>
      </c>
      <c r="L41" s="13">
        <f>IF(A41="","",COUNTIFS('Entrada de Leads'!$C$2:$C$400,A41,'Entrada de Leads'!$J$2:$J$400,"Convertido"))</f>
        <v/>
      </c>
      <c r="M41" s="38">
        <f>IF(OR(J41="",J41=0),"",L41/J41)</f>
        <v/>
      </c>
      <c r="N41" s="33" t="n"/>
      <c r="O41" s="38">
        <f>IF(OR(E41="",E41=0),"",(N41-E41)/E41)</f>
        <v/>
      </c>
    </row>
    <row r="42">
      <c r="A42" s="31" t="n"/>
      <c r="B42" s="31" t="n"/>
      <c r="C42" s="32" t="n"/>
      <c r="D42" s="33" t="n"/>
      <c r="E42" s="33" t="n"/>
      <c r="F42" s="34" t="n"/>
      <c r="G42" s="34" t="n"/>
      <c r="H42" s="35">
        <f>IF(F42=0,"",G42/F42)</f>
        <v/>
      </c>
      <c r="I42" s="36">
        <f>IF(G42=0,"",E42/G42)</f>
        <v/>
      </c>
      <c r="J42" s="13">
        <f>IF(A42="","",COUNTIF('Entrada de Leads'!$C$2:$C$400,A42))</f>
        <v/>
      </c>
      <c r="K42" s="37">
        <f>IF(OR(J42="",J42=0),"",E42/J42)</f>
        <v/>
      </c>
      <c r="L42" s="13">
        <f>IF(A42="","",COUNTIFS('Entrada de Leads'!$C$2:$C$400,A42,'Entrada de Leads'!$J$2:$J$400,"Convertido"))</f>
        <v/>
      </c>
      <c r="M42" s="38">
        <f>IF(OR(J42="",J42=0),"",L42/J42)</f>
        <v/>
      </c>
      <c r="N42" s="33" t="n"/>
      <c r="O42" s="38">
        <f>IF(OR(E42="",E42=0),"",(N42-E42)/E42)</f>
        <v/>
      </c>
    </row>
    <row r="43">
      <c r="A43" s="31" t="n"/>
      <c r="B43" s="31" t="n"/>
      <c r="C43" s="32" t="n"/>
      <c r="D43" s="33" t="n"/>
      <c r="E43" s="33" t="n"/>
      <c r="F43" s="34" t="n"/>
      <c r="G43" s="34" t="n"/>
      <c r="H43" s="35">
        <f>IF(F43=0,"",G43/F43)</f>
        <v/>
      </c>
      <c r="I43" s="36">
        <f>IF(G43=0,"",E43/G43)</f>
        <v/>
      </c>
      <c r="J43" s="13">
        <f>IF(A43="","",COUNTIF('Entrada de Leads'!$C$2:$C$400,A43))</f>
        <v/>
      </c>
      <c r="K43" s="37">
        <f>IF(OR(J43="",J43=0),"",E43/J43)</f>
        <v/>
      </c>
      <c r="L43" s="13">
        <f>IF(A43="","",COUNTIFS('Entrada de Leads'!$C$2:$C$400,A43,'Entrada de Leads'!$J$2:$J$400,"Convertido"))</f>
        <v/>
      </c>
      <c r="M43" s="38">
        <f>IF(OR(J43="",J43=0),"",L43/J43)</f>
        <v/>
      </c>
      <c r="N43" s="33" t="n"/>
      <c r="O43" s="38">
        <f>IF(OR(E43="",E43=0),"",(N43-E43)/E43)</f>
        <v/>
      </c>
    </row>
    <row r="44">
      <c r="A44" s="31" t="n"/>
      <c r="B44" s="31" t="n"/>
      <c r="C44" s="32" t="n"/>
      <c r="D44" s="33" t="n"/>
      <c r="E44" s="33" t="n"/>
      <c r="F44" s="34" t="n"/>
      <c r="G44" s="34" t="n"/>
      <c r="H44" s="35">
        <f>IF(F44=0,"",G44/F44)</f>
        <v/>
      </c>
      <c r="I44" s="36">
        <f>IF(G44=0,"",E44/G44)</f>
        <v/>
      </c>
      <c r="J44" s="13">
        <f>IF(A44="","",COUNTIF('Entrada de Leads'!$C$2:$C$400,A44))</f>
        <v/>
      </c>
      <c r="K44" s="37">
        <f>IF(OR(J44="",J44=0),"",E44/J44)</f>
        <v/>
      </c>
      <c r="L44" s="13">
        <f>IF(A44="","",COUNTIFS('Entrada de Leads'!$C$2:$C$400,A44,'Entrada de Leads'!$J$2:$J$400,"Convertido"))</f>
        <v/>
      </c>
      <c r="M44" s="38">
        <f>IF(OR(J44="",J44=0),"",L44/J44)</f>
        <v/>
      </c>
      <c r="N44" s="33" t="n"/>
      <c r="O44" s="38">
        <f>IF(OR(E44="",E44=0),"",(N44-E44)/E44)</f>
        <v/>
      </c>
    </row>
    <row r="45">
      <c r="A45" s="31" t="n"/>
      <c r="B45" s="31" t="n"/>
      <c r="C45" s="32" t="n"/>
      <c r="D45" s="33" t="n"/>
      <c r="E45" s="33" t="n"/>
      <c r="F45" s="34" t="n"/>
      <c r="G45" s="34" t="n"/>
      <c r="H45" s="35">
        <f>IF(F45=0,"",G45/F45)</f>
        <v/>
      </c>
      <c r="I45" s="36">
        <f>IF(G45=0,"",E45/G45)</f>
        <v/>
      </c>
      <c r="J45" s="13">
        <f>IF(A45="","",COUNTIF('Entrada de Leads'!$C$2:$C$400,A45))</f>
        <v/>
      </c>
      <c r="K45" s="37">
        <f>IF(OR(J45="",J45=0),"",E45/J45)</f>
        <v/>
      </c>
      <c r="L45" s="13">
        <f>IF(A45="","",COUNTIFS('Entrada de Leads'!$C$2:$C$400,A45,'Entrada de Leads'!$J$2:$J$400,"Convertido"))</f>
        <v/>
      </c>
      <c r="M45" s="38">
        <f>IF(OR(J45="",J45=0),"",L45/J45)</f>
        <v/>
      </c>
      <c r="N45" s="33" t="n"/>
      <c r="O45" s="38">
        <f>IF(OR(E45="",E45=0),"",(N45-E45)/E45)</f>
        <v/>
      </c>
    </row>
    <row r="46">
      <c r="A46" s="31" t="n"/>
      <c r="B46" s="31" t="n"/>
      <c r="C46" s="32" t="n"/>
      <c r="D46" s="33" t="n"/>
      <c r="E46" s="33" t="n"/>
      <c r="F46" s="34" t="n"/>
      <c r="G46" s="34" t="n"/>
      <c r="H46" s="35">
        <f>IF(F46=0,"",G46/F46)</f>
        <v/>
      </c>
      <c r="I46" s="36">
        <f>IF(G46=0,"",E46/G46)</f>
        <v/>
      </c>
      <c r="J46" s="13">
        <f>IF(A46="","",COUNTIF('Entrada de Leads'!$C$2:$C$400,A46))</f>
        <v/>
      </c>
      <c r="K46" s="37">
        <f>IF(OR(J46="",J46=0),"",E46/J46)</f>
        <v/>
      </c>
      <c r="L46" s="13">
        <f>IF(A46="","",COUNTIFS('Entrada de Leads'!$C$2:$C$400,A46,'Entrada de Leads'!$J$2:$J$400,"Convertido"))</f>
        <v/>
      </c>
      <c r="M46" s="38">
        <f>IF(OR(J46="",J46=0),"",L46/J46)</f>
        <v/>
      </c>
      <c r="N46" s="33" t="n"/>
      <c r="O46" s="38">
        <f>IF(OR(E46="",E46=0),"",(N46-E46)/E46)</f>
        <v/>
      </c>
    </row>
    <row r="47">
      <c r="A47" s="31" t="n"/>
      <c r="B47" s="31" t="n"/>
      <c r="C47" s="32" t="n"/>
      <c r="D47" s="33" t="n"/>
      <c r="E47" s="33" t="n"/>
      <c r="F47" s="34" t="n"/>
      <c r="G47" s="34" t="n"/>
      <c r="H47" s="35">
        <f>IF(F47=0,"",G47/F47)</f>
        <v/>
      </c>
      <c r="I47" s="36">
        <f>IF(G47=0,"",E47/G47)</f>
        <v/>
      </c>
      <c r="J47" s="13">
        <f>IF(A47="","",COUNTIF('Entrada de Leads'!$C$2:$C$400,A47))</f>
        <v/>
      </c>
      <c r="K47" s="37">
        <f>IF(OR(J47="",J47=0),"",E47/J47)</f>
        <v/>
      </c>
      <c r="L47" s="13">
        <f>IF(A47="","",COUNTIFS('Entrada de Leads'!$C$2:$C$400,A47,'Entrada de Leads'!$J$2:$J$400,"Convertido"))</f>
        <v/>
      </c>
      <c r="M47" s="38">
        <f>IF(OR(J47="",J47=0),"",L47/J47)</f>
        <v/>
      </c>
      <c r="N47" s="33" t="n"/>
      <c r="O47" s="38">
        <f>IF(OR(E47="",E47=0),"",(N47-E47)/E47)</f>
        <v/>
      </c>
    </row>
    <row r="48">
      <c r="A48" s="31" t="n"/>
      <c r="B48" s="31" t="n"/>
      <c r="C48" s="32" t="n"/>
      <c r="D48" s="33" t="n"/>
      <c r="E48" s="33" t="n"/>
      <c r="F48" s="34" t="n"/>
      <c r="G48" s="34" t="n"/>
      <c r="H48" s="35">
        <f>IF(F48=0,"",G48/F48)</f>
        <v/>
      </c>
      <c r="I48" s="36">
        <f>IF(G48=0,"",E48/G48)</f>
        <v/>
      </c>
      <c r="J48" s="13">
        <f>IF(A48="","",COUNTIF('Entrada de Leads'!$C$2:$C$400,A48))</f>
        <v/>
      </c>
      <c r="K48" s="37">
        <f>IF(OR(J48="",J48=0),"",E48/J48)</f>
        <v/>
      </c>
      <c r="L48" s="13">
        <f>IF(A48="","",COUNTIFS('Entrada de Leads'!$C$2:$C$400,A48,'Entrada de Leads'!$J$2:$J$400,"Convertido"))</f>
        <v/>
      </c>
      <c r="M48" s="38">
        <f>IF(OR(J48="",J48=0),"",L48/J48)</f>
        <v/>
      </c>
      <c r="N48" s="33" t="n"/>
      <c r="O48" s="38">
        <f>IF(OR(E48="",E48=0),"",(N48-E48)/E48)</f>
        <v/>
      </c>
    </row>
    <row r="49">
      <c r="A49" s="31" t="n"/>
      <c r="B49" s="31" t="n"/>
      <c r="C49" s="32" t="n"/>
      <c r="D49" s="33" t="n"/>
      <c r="E49" s="33" t="n"/>
      <c r="F49" s="34" t="n"/>
      <c r="G49" s="34" t="n"/>
      <c r="H49" s="35">
        <f>IF(F49=0,"",G49/F49)</f>
        <v/>
      </c>
      <c r="I49" s="36">
        <f>IF(G49=0,"",E49/G49)</f>
        <v/>
      </c>
      <c r="J49" s="13">
        <f>IF(A49="","",COUNTIF('Entrada de Leads'!$C$2:$C$400,A49))</f>
        <v/>
      </c>
      <c r="K49" s="37">
        <f>IF(OR(J49="",J49=0),"",E49/J49)</f>
        <v/>
      </c>
      <c r="L49" s="13">
        <f>IF(A49="","",COUNTIFS('Entrada de Leads'!$C$2:$C$400,A49,'Entrada de Leads'!$J$2:$J$400,"Convertido"))</f>
        <v/>
      </c>
      <c r="M49" s="38">
        <f>IF(OR(J49="",J49=0),"",L49/J49)</f>
        <v/>
      </c>
      <c r="N49" s="33" t="n"/>
      <c r="O49" s="38">
        <f>IF(OR(E49="",E49=0),"",(N49-E49)/E49)</f>
        <v/>
      </c>
    </row>
    <row r="50">
      <c r="A50" s="31" t="n"/>
      <c r="B50" s="31" t="n"/>
      <c r="C50" s="32" t="n"/>
      <c r="D50" s="33" t="n"/>
      <c r="E50" s="33" t="n"/>
      <c r="F50" s="34" t="n"/>
      <c r="G50" s="34" t="n"/>
      <c r="H50" s="35">
        <f>IF(F50=0,"",G50/F50)</f>
        <v/>
      </c>
      <c r="I50" s="36">
        <f>IF(G50=0,"",E50/G50)</f>
        <v/>
      </c>
      <c r="J50" s="13">
        <f>IF(A50="","",COUNTIF('Entrada de Leads'!$C$2:$C$400,A50))</f>
        <v/>
      </c>
      <c r="K50" s="37">
        <f>IF(OR(J50="",J50=0),"",E50/J50)</f>
        <v/>
      </c>
      <c r="L50" s="13">
        <f>IF(A50="","",COUNTIFS('Entrada de Leads'!$C$2:$C$400,A50,'Entrada de Leads'!$J$2:$J$400,"Convertido"))</f>
        <v/>
      </c>
      <c r="M50" s="38">
        <f>IF(OR(J50="",J50=0),"",L50/J50)</f>
        <v/>
      </c>
      <c r="N50" s="33" t="n"/>
      <c r="O50" s="38">
        <f>IF(OR(E50="",E50=0),"",(N50-E50)/E50)</f>
        <v/>
      </c>
    </row>
    <row r="51">
      <c r="A51" s="31" t="n"/>
      <c r="B51" s="31" t="n"/>
      <c r="C51" s="32" t="n"/>
      <c r="D51" s="33" t="n"/>
      <c r="E51" s="33" t="n"/>
      <c r="F51" s="34" t="n"/>
      <c r="G51" s="34" t="n"/>
      <c r="H51" s="35">
        <f>IF(F51=0,"",G51/F51)</f>
        <v/>
      </c>
      <c r="I51" s="36">
        <f>IF(G51=0,"",E51/G51)</f>
        <v/>
      </c>
      <c r="J51" s="13">
        <f>IF(A51="","",COUNTIF('Entrada de Leads'!$C$2:$C$400,A51))</f>
        <v/>
      </c>
      <c r="K51" s="37">
        <f>IF(OR(J51="",J51=0),"",E51/J51)</f>
        <v/>
      </c>
      <c r="L51" s="13">
        <f>IF(A51="","",COUNTIFS('Entrada de Leads'!$C$2:$C$400,A51,'Entrada de Leads'!$J$2:$J$400,"Convertido"))</f>
        <v/>
      </c>
      <c r="M51" s="38">
        <f>IF(OR(J51="",J51=0),"",L51/J51)</f>
        <v/>
      </c>
      <c r="N51" s="33" t="n"/>
      <c r="O51" s="38">
        <f>IF(OR(E51="",E51=0),"",(N51-E51)/E51)</f>
        <v/>
      </c>
    </row>
    <row r="52">
      <c r="A52" s="31" t="n"/>
      <c r="B52" s="31" t="n"/>
      <c r="C52" s="32" t="n"/>
      <c r="D52" s="33" t="n"/>
      <c r="E52" s="33" t="n"/>
      <c r="F52" s="34" t="n"/>
      <c r="G52" s="34" t="n"/>
      <c r="H52" s="35">
        <f>IF(F52=0,"",G52/F52)</f>
        <v/>
      </c>
      <c r="I52" s="36">
        <f>IF(G52=0,"",E52/G52)</f>
        <v/>
      </c>
      <c r="J52" s="13">
        <f>IF(A52="","",COUNTIF('Entrada de Leads'!$C$2:$C$400,A52))</f>
        <v/>
      </c>
      <c r="K52" s="37">
        <f>IF(OR(J52="",J52=0),"",E52/J52)</f>
        <v/>
      </c>
      <c r="L52" s="13">
        <f>IF(A52="","",COUNTIFS('Entrada de Leads'!$C$2:$C$400,A52,'Entrada de Leads'!$J$2:$J$400,"Convertido"))</f>
        <v/>
      </c>
      <c r="M52" s="38">
        <f>IF(OR(J52="",J52=0),"",L52/J52)</f>
        <v/>
      </c>
      <c r="N52" s="33" t="n"/>
      <c r="O52" s="38">
        <f>IF(OR(E52="",E52=0),"",(N52-E52)/E52)</f>
        <v/>
      </c>
    </row>
    <row r="53">
      <c r="A53" s="31" t="n"/>
      <c r="B53" s="31" t="n"/>
      <c r="C53" s="32" t="n"/>
      <c r="D53" s="33" t="n"/>
      <c r="E53" s="33" t="n"/>
      <c r="F53" s="34" t="n"/>
      <c r="G53" s="34" t="n"/>
      <c r="H53" s="35">
        <f>IF(F53=0,"",G53/F53)</f>
        <v/>
      </c>
      <c r="I53" s="36">
        <f>IF(G53=0,"",E53/G53)</f>
        <v/>
      </c>
      <c r="J53" s="13">
        <f>IF(A53="","",COUNTIF('Entrada de Leads'!$C$2:$C$400,A53))</f>
        <v/>
      </c>
      <c r="K53" s="37">
        <f>IF(OR(J53="",J53=0),"",E53/J53)</f>
        <v/>
      </c>
      <c r="L53" s="13">
        <f>IF(A53="","",COUNTIFS('Entrada de Leads'!$C$2:$C$400,A53,'Entrada de Leads'!$J$2:$J$400,"Convertido"))</f>
        <v/>
      </c>
      <c r="M53" s="38">
        <f>IF(OR(J53="",J53=0),"",L53/J53)</f>
        <v/>
      </c>
      <c r="N53" s="33" t="n"/>
      <c r="O53" s="38">
        <f>IF(OR(E53="",E53=0),"",(N53-E53)/E53)</f>
        <v/>
      </c>
    </row>
    <row r="54">
      <c r="A54" s="31" t="n"/>
      <c r="B54" s="31" t="n"/>
      <c r="C54" s="32" t="n"/>
      <c r="D54" s="33" t="n"/>
      <c r="E54" s="33" t="n"/>
      <c r="F54" s="34" t="n"/>
      <c r="G54" s="34" t="n"/>
      <c r="H54" s="35">
        <f>IF(F54=0,"",G54/F54)</f>
        <v/>
      </c>
      <c r="I54" s="36">
        <f>IF(G54=0,"",E54/G54)</f>
        <v/>
      </c>
      <c r="J54" s="13">
        <f>IF(A54="","",COUNTIF('Entrada de Leads'!$C$2:$C$400,A54))</f>
        <v/>
      </c>
      <c r="K54" s="37">
        <f>IF(OR(J54="",J54=0),"",E54/J54)</f>
        <v/>
      </c>
      <c r="L54" s="13">
        <f>IF(A54="","",COUNTIFS('Entrada de Leads'!$C$2:$C$400,A54,'Entrada de Leads'!$J$2:$J$400,"Convertido"))</f>
        <v/>
      </c>
      <c r="M54" s="38">
        <f>IF(OR(J54="",J54=0),"",L54/J54)</f>
        <v/>
      </c>
      <c r="N54" s="33" t="n"/>
      <c r="O54" s="38">
        <f>IF(OR(E54="",E54=0),"",(N54-E54)/E54)</f>
        <v/>
      </c>
    </row>
    <row r="55">
      <c r="A55" s="31" t="n"/>
      <c r="B55" s="31" t="n"/>
      <c r="C55" s="32" t="n"/>
      <c r="D55" s="33" t="n"/>
      <c r="E55" s="33" t="n"/>
      <c r="F55" s="34" t="n"/>
      <c r="G55" s="34" t="n"/>
      <c r="H55" s="35">
        <f>IF(F55=0,"",G55/F55)</f>
        <v/>
      </c>
      <c r="I55" s="36">
        <f>IF(G55=0,"",E55/G55)</f>
        <v/>
      </c>
      <c r="J55" s="13">
        <f>IF(A55="","",COUNTIF('Entrada de Leads'!$C$2:$C$400,A55))</f>
        <v/>
      </c>
      <c r="K55" s="37">
        <f>IF(OR(J55="",J55=0),"",E55/J55)</f>
        <v/>
      </c>
      <c r="L55" s="13">
        <f>IF(A55="","",COUNTIFS('Entrada de Leads'!$C$2:$C$400,A55,'Entrada de Leads'!$J$2:$J$400,"Convertido"))</f>
        <v/>
      </c>
      <c r="M55" s="38">
        <f>IF(OR(J55="",J55=0),"",L55/J55)</f>
        <v/>
      </c>
      <c r="N55" s="33" t="n"/>
      <c r="O55" s="38">
        <f>IF(OR(E55="",E55=0),"",(N55-E55)/E55)</f>
        <v/>
      </c>
    </row>
    <row r="56">
      <c r="A56" s="31" t="n"/>
      <c r="B56" s="31" t="n"/>
      <c r="C56" s="32" t="n"/>
      <c r="D56" s="33" t="n"/>
      <c r="E56" s="33" t="n"/>
      <c r="F56" s="34" t="n"/>
      <c r="G56" s="34" t="n"/>
      <c r="H56" s="35">
        <f>IF(F56=0,"",G56/F56)</f>
        <v/>
      </c>
      <c r="I56" s="36">
        <f>IF(G56=0,"",E56/G56)</f>
        <v/>
      </c>
      <c r="J56" s="13">
        <f>IF(A56="","",COUNTIF('Entrada de Leads'!$C$2:$C$400,A56))</f>
        <v/>
      </c>
      <c r="K56" s="37">
        <f>IF(OR(J56="",J56=0),"",E56/J56)</f>
        <v/>
      </c>
      <c r="L56" s="13">
        <f>IF(A56="","",COUNTIFS('Entrada de Leads'!$C$2:$C$400,A56,'Entrada de Leads'!$J$2:$J$400,"Convertido"))</f>
        <v/>
      </c>
      <c r="M56" s="38">
        <f>IF(OR(J56="",J56=0),"",L56/J56)</f>
        <v/>
      </c>
      <c r="N56" s="33" t="n"/>
      <c r="O56" s="38">
        <f>IF(OR(E56="",E56=0),"",(N56-E56)/E56)</f>
        <v/>
      </c>
    </row>
    <row r="57">
      <c r="A57" s="31" t="n"/>
      <c r="B57" s="31" t="n"/>
      <c r="C57" s="32" t="n"/>
      <c r="D57" s="33" t="n"/>
      <c r="E57" s="33" t="n"/>
      <c r="F57" s="34" t="n"/>
      <c r="G57" s="34" t="n"/>
      <c r="H57" s="35">
        <f>IF(F57=0,"",G57/F57)</f>
        <v/>
      </c>
      <c r="I57" s="36">
        <f>IF(G57=0,"",E57/G57)</f>
        <v/>
      </c>
      <c r="J57" s="13">
        <f>IF(A57="","",COUNTIF('Entrada de Leads'!$C$2:$C$400,A57))</f>
        <v/>
      </c>
      <c r="K57" s="37">
        <f>IF(OR(J57="",J57=0),"",E57/J57)</f>
        <v/>
      </c>
      <c r="L57" s="13">
        <f>IF(A57="","",COUNTIFS('Entrada de Leads'!$C$2:$C$400,A57,'Entrada de Leads'!$J$2:$J$400,"Convertido"))</f>
        <v/>
      </c>
      <c r="M57" s="38">
        <f>IF(OR(J57="",J57=0),"",L57/J57)</f>
        <v/>
      </c>
      <c r="N57" s="33" t="n"/>
      <c r="O57" s="38">
        <f>IF(OR(E57="",E57=0),"",(N57-E57)/E57)</f>
        <v/>
      </c>
    </row>
    <row r="58">
      <c r="A58" s="31" t="n"/>
      <c r="B58" s="31" t="n"/>
      <c r="C58" s="32" t="n"/>
      <c r="D58" s="33" t="n"/>
      <c r="E58" s="33" t="n"/>
      <c r="F58" s="34" t="n"/>
      <c r="G58" s="34" t="n"/>
      <c r="H58" s="35">
        <f>IF(F58=0,"",G58/F58)</f>
        <v/>
      </c>
      <c r="I58" s="36">
        <f>IF(G58=0,"",E58/G58)</f>
        <v/>
      </c>
      <c r="J58" s="13">
        <f>IF(A58="","",COUNTIF('Entrada de Leads'!$C$2:$C$400,A58))</f>
        <v/>
      </c>
      <c r="K58" s="37">
        <f>IF(OR(J58="",J58=0),"",E58/J58)</f>
        <v/>
      </c>
      <c r="L58" s="13">
        <f>IF(A58="","",COUNTIFS('Entrada de Leads'!$C$2:$C$400,A58,'Entrada de Leads'!$J$2:$J$400,"Convertido"))</f>
        <v/>
      </c>
      <c r="M58" s="38">
        <f>IF(OR(J58="",J58=0),"",L58/J58)</f>
        <v/>
      </c>
      <c r="N58" s="33" t="n"/>
      <c r="O58" s="38">
        <f>IF(OR(E58="",E58=0),"",(N58-E58)/E58)</f>
        <v/>
      </c>
    </row>
    <row r="59">
      <c r="A59" s="31" t="n"/>
      <c r="B59" s="31" t="n"/>
      <c r="C59" s="32" t="n"/>
      <c r="D59" s="33" t="n"/>
      <c r="E59" s="33" t="n"/>
      <c r="F59" s="34" t="n"/>
      <c r="G59" s="34" t="n"/>
      <c r="H59" s="35">
        <f>IF(F59=0,"",G59/F59)</f>
        <v/>
      </c>
      <c r="I59" s="36">
        <f>IF(G59=0,"",E59/G59)</f>
        <v/>
      </c>
      <c r="J59" s="13">
        <f>IF(A59="","",COUNTIF('Entrada de Leads'!$C$2:$C$400,A59))</f>
        <v/>
      </c>
      <c r="K59" s="37">
        <f>IF(OR(J59="",J59=0),"",E59/J59)</f>
        <v/>
      </c>
      <c r="L59" s="13">
        <f>IF(A59="","",COUNTIFS('Entrada de Leads'!$C$2:$C$400,A59,'Entrada de Leads'!$J$2:$J$400,"Convertido"))</f>
        <v/>
      </c>
      <c r="M59" s="38">
        <f>IF(OR(J59="",J59=0),"",L59/J59)</f>
        <v/>
      </c>
      <c r="N59" s="33" t="n"/>
      <c r="O59" s="38">
        <f>IF(OR(E59="",E59=0),"",(N59-E59)/E59)</f>
        <v/>
      </c>
    </row>
    <row r="60">
      <c r="A60" s="31" t="n"/>
      <c r="B60" s="31" t="n"/>
      <c r="C60" s="32" t="n"/>
      <c r="D60" s="33" t="n"/>
      <c r="E60" s="33" t="n"/>
      <c r="F60" s="34" t="n"/>
      <c r="G60" s="34" t="n"/>
      <c r="H60" s="35">
        <f>IF(F60=0,"",G60/F60)</f>
        <v/>
      </c>
      <c r="I60" s="36">
        <f>IF(G60=0,"",E60/G60)</f>
        <v/>
      </c>
      <c r="J60" s="13">
        <f>IF(A60="","",COUNTIF('Entrada de Leads'!$C$2:$C$400,A60))</f>
        <v/>
      </c>
      <c r="K60" s="37">
        <f>IF(OR(J60="",J60=0),"",E60/J60)</f>
        <v/>
      </c>
      <c r="L60" s="13">
        <f>IF(A60="","",COUNTIFS('Entrada de Leads'!$C$2:$C$400,A60,'Entrada de Leads'!$J$2:$J$400,"Convertido"))</f>
        <v/>
      </c>
      <c r="M60" s="38">
        <f>IF(OR(J60="",J60=0),"",L60/J60)</f>
        <v/>
      </c>
      <c r="N60" s="33" t="n"/>
      <c r="O60" s="38">
        <f>IF(OR(E60="",E60=0),"",(N60-E60)/E60)</f>
        <v/>
      </c>
    </row>
  </sheetData>
  <dataValidations count="1">
    <dataValidation sqref="B2:B60" showDropDown="0" showInputMessage="0" showErrorMessage="0" allowBlank="1" type="list">
      <formula1>"Pesquisa,Display,Performance Max,Shopping,Vídeo,Remarketing"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1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40" customWidth="1" min="2" max="2"/>
    <col width="3" customWidth="1" min="3" max="3"/>
    <col width="40" customWidth="1" min="4" max="4"/>
    <col width="3" customWidth="1" min="5" max="5"/>
    <col width="3" customWidth="1" min="6" max="6"/>
  </cols>
  <sheetData>
    <row r="1" ht="26" customHeight="1">
      <c r="A1" s="1" t="inlineStr">
        <is>
          <t>Controle de Rotina — Entrada Digital (Google Ads)</t>
        </is>
      </c>
    </row>
    <row r="2" ht="16" customHeight="1">
      <c r="A2" s="2" t="inlineStr">
        <is>
          <t>Como usar esta planilha</t>
        </is>
      </c>
    </row>
    <row r="4" ht="30" customHeight="1">
      <c r="B4" s="3" t="inlineStr">
        <is>
          <t>O que é</t>
        </is>
      </c>
      <c r="D4" s="39" t="inlineStr">
        <is>
          <t>Controle da rotina diária de entrada de leads vindos do Google Ads: acompanhamento do funil, tempo de resposta (SLA) e desempenho das campanhas, no mesmo formato do Controle de Execução de Obra.</t>
        </is>
      </c>
    </row>
    <row r="5" ht="30" customHeight="1">
      <c r="B5" s="3" t="inlineStr">
        <is>
          <t>Abas</t>
        </is>
      </c>
      <c r="D5" s="39" t="inlineStr">
        <is>
          <t>Rotina Diária | Entrada de Leads | Campanhas Google Ads | Dashboard</t>
        </is>
      </c>
    </row>
    <row r="6" ht="30" customHeight="1">
      <c r="B6" s="3" t="inlineStr">
        <is>
          <t>Células amarelas</t>
        </is>
      </c>
      <c r="D6" s="39" t="inlineStr">
        <is>
          <t>São os campos de preenchimento manual (dados do dia a dia, da conta do Google Ads e metas). O resto é calculado por fórmula — não sobrescreva.</t>
        </is>
      </c>
    </row>
    <row r="7" ht="30" customHeight="1">
      <c r="B7" s="3" t="inlineStr">
        <is>
          <t>Rotina Diária</t>
        </is>
      </c>
      <c r="D7" s="39" t="inlineStr">
        <is>
          <t>Checklist diário de tarefas da rotina. Marque Feito/Pendente/N-A em cada tarefa.</t>
        </is>
      </c>
    </row>
    <row r="8" ht="30" customHeight="1">
      <c r="B8" s="3" t="inlineStr">
        <is>
          <t>Entrada de Leads</t>
        </is>
      </c>
      <c r="D8" s="39" t="inlineStr">
        <is>
          <t>Um lead por linha. Preencha data/hora do lead e do 1º contato; o tempo de resposta e o cumprimento do SLA são calculados automaticamente.</t>
        </is>
      </c>
    </row>
    <row r="9" ht="30" customHeight="1">
      <c r="B9" s="3" t="inlineStr">
        <is>
          <t>Campanhas Google Ads</t>
        </is>
      </c>
      <c r="D9" s="39" t="inlineStr">
        <is>
          <t>Um resumo por campanha (dados exportados do Google Ads). O nº de leads no CRM e o custo por lead são calculados a partir da aba Entrada de Leads.</t>
        </is>
      </c>
    </row>
    <row r="10" ht="30" customHeight="1">
      <c r="B10" s="3" t="inlineStr">
        <is>
          <t>Dashboard</t>
        </is>
      </c>
      <c r="D10" s="39" t="inlineStr">
        <is>
          <t>Indicadores do período selecionado (defina as datas em B4/B5) e funil de status.</t>
        </is>
      </c>
    </row>
    <row r="11" ht="30" customHeight="1">
      <c r="B11" s="3" t="inlineStr">
        <is>
          <t>Meta de SLA</t>
        </is>
      </c>
      <c r="D11" s="39" t="inlineStr">
        <is>
          <t>Definida na aba Dashboard, célula B6 (minutos). Usada para calcular o cumprimento de SLA em todas as abas.</t>
        </is>
      </c>
    </row>
  </sheetData>
  <mergeCells count="2">
    <mergeCell ref="A2:F2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2026-09-14T14:45:51Z</dcterms:created>
  <dcterms:modified xsi:type="dcterms:W3CDTF">2026-09-14T14:45:52Z</dcterms:modified>
</cp:coreProperties>
</file>