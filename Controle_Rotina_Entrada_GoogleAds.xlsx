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otina Diária" sheetId="2" state="visible" r:id="rId2"/>
    <sheet name="Vendas (Conversões)" sheetId="3" state="visible" r:id="rId3"/>
    <sheet name="Campanhas Google Ads" sheetId="4" state="visible" r:id="rId4"/>
    <sheet name="Leia-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HH:MM"/>
    <numFmt numFmtId="166" formatCode="$#,##0.00"/>
    <numFmt numFmtId="167" formatCode="R$ #,##0"/>
    <numFmt numFmtId="168" formatCode="R$ #,##0.00"/>
    <numFmt numFmtId="169" formatCode="0.0%"/>
    <numFmt numFmtId="170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1C4E80"/>
      <sz val="16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808080"/>
      <sz val="10"/>
    </font>
    <font>
      <name val="Arial"/>
      <color rgb="00666666"/>
      <sz val="10"/>
    </font>
    <font>
      <name val="Arial"/>
      <b val="1"/>
      <color rgb="001C4E80"/>
      <sz val="18"/>
    </font>
    <font>
      <name val="Arial"/>
      <b val="1"/>
      <color rgb="001C4E80"/>
      <sz val="11"/>
    </font>
  </fonts>
  <fills count="5">
    <fill>
      <patternFill/>
    </fill>
    <fill>
      <patternFill patternType="gray125"/>
    </fill>
    <fill>
      <patternFill patternType="solid">
        <fgColor rgb="001C4E80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7C6E5"/>
      </left>
      <right style="thin">
        <color rgb="00B7C6E5"/>
      </right>
      <top style="thin">
        <color rgb="00B7C6E5"/>
      </top>
      <bottom style="thin">
        <color rgb="00B7C6E5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3" borderId="1" applyAlignment="1" pivotButton="0" quotePrefix="0" xfId="0">
      <alignment horizontal="center"/>
    </xf>
    <xf numFmtId="168" fontId="0" fillId="3" borderId="1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7" fontId="8" fillId="0" borderId="0" applyAlignment="1" pivotButton="0" quotePrefix="0" xfId="0">
      <alignment horizontal="left"/>
    </xf>
    <xf numFmtId="3" fontId="8" fillId="0" borderId="0" applyAlignment="1" pivotButton="0" quotePrefix="0" xfId="0">
      <alignment horizontal="left"/>
    </xf>
    <xf numFmtId="166" fontId="8" fillId="0" borderId="0" applyAlignment="1" pivotButton="0" quotePrefix="0" xfId="0">
      <alignment horizontal="left"/>
    </xf>
    <xf numFmtId="169" fontId="8" fillId="0" borderId="0" applyAlignment="1" pivotButton="0" quotePrefix="0" xfId="0">
      <alignment horizontal="left"/>
    </xf>
    <xf numFmtId="0" fontId="9" fillId="4" borderId="0" pivotButton="0" quotePrefix="0" xfId="0"/>
    <xf numFmtId="0" fontId="5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4" fillId="3" borderId="1" pivotButton="0" quotePrefix="0" xfId="0"/>
    <xf numFmtId="165" fontId="4" fillId="3" borderId="1" pivotButton="0" quotePrefix="0" xfId="0"/>
    <xf numFmtId="0" fontId="4" fillId="3" borderId="1" pivotButton="0" quotePrefix="0" xfId="0"/>
    <xf numFmtId="166" fontId="4" fillId="3" borderId="1" pivotButton="0" quotePrefix="0" xfId="0"/>
    <xf numFmtId="167" fontId="6" fillId="0" borderId="1" pivotButton="0" quotePrefix="0" xfId="0"/>
    <xf numFmtId="3" fontId="6" fillId="0" borderId="1" pivotButton="0" quotePrefix="0" xfId="0"/>
    <xf numFmtId="10" fontId="6" fillId="0" borderId="1" pivotButton="0" quotePrefix="0" xfId="0"/>
    <xf numFmtId="168" fontId="6" fillId="0" borderId="1" pivotButton="0" quotePrefix="0" xfId="0"/>
    <xf numFmtId="169" fontId="6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7" fontId="0" fillId="3" borderId="1" pivotButton="0" quotePrefix="0" xfId="0"/>
    <xf numFmtId="3" fontId="0" fillId="3" borderId="1" pivotButton="0" quotePrefix="0" xfId="0"/>
    <xf numFmtId="10" fontId="0" fillId="0" borderId="1" pivotButton="0" quotePrefix="0" xfId="0"/>
    <xf numFmtId="168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9" fontId="0" fillId="0" borderId="1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A9D18E"/>
        </patternFill>
      </fill>
    </dxf>
    <dxf>
      <fill>
        <patternFill patternType="solid">
          <fgColor rgb="00F4A6A6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Funil de Vendas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'Dashboard'!B16</f>
            </strRef>
          </tx>
          <spPr>
            <a:ln>
              <a:prstDash val="solid"/>
            </a:ln>
          </spPr>
          <cat>
            <numRef>
              <f>'Dashboard'!$A$17:$A$19</f>
            </numRef>
          </cat>
          <val>
            <numRef>
              <f>'Dashboard'!$B$17:$B$19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Vendas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" customWidth="1" min="3" max="3"/>
    <col width="22" customWidth="1" min="4" max="4"/>
    <col width="16" customWidth="1" min="5" max="5"/>
    <col width="3" customWidth="1" min="6" max="6"/>
    <col width="22" customWidth="1" min="7" max="7"/>
    <col width="16" customWidth="1" min="8" max="8"/>
  </cols>
  <sheetData>
    <row r="1" ht="26" customHeight="1">
      <c r="A1" s="1" t="inlineStr">
        <is>
          <t>Dashboard — Entrada Digital (Google Ads / Afiliados)</t>
        </is>
      </c>
    </row>
    <row r="2" ht="16" customHeight="1">
      <c r="A2" s="2" t="inlineStr">
        <is>
          <t>Indicadores do período selecionado</t>
        </is>
      </c>
    </row>
    <row r="4">
      <c r="A4" s="3" t="inlineStr">
        <is>
          <t>Período - Data Início</t>
        </is>
      </c>
      <c r="B4" s="4" t="n">
        <v>46266</v>
      </c>
    </row>
    <row r="5">
      <c r="A5" s="3" t="inlineStr">
        <is>
          <t>Período - Data Fim</t>
        </is>
      </c>
      <c r="B5" s="4" t="n">
        <v>46295</v>
      </c>
    </row>
    <row r="6">
      <c r="A6" s="3" t="inlineStr">
        <is>
          <t>Cotação do Dólar (R$)</t>
        </is>
      </c>
      <c r="B6" s="5" t="n">
        <v>5.4</v>
      </c>
    </row>
    <row r="9">
      <c r="A9" s="6" t="inlineStr">
        <is>
          <t>Investimento Total (R$)</t>
        </is>
      </c>
      <c r="D9" s="6" t="inlineStr">
        <is>
          <t>Vendas Aprovadas no Período</t>
        </is>
      </c>
      <c r="G9" s="6" t="inlineStr">
        <is>
          <t>Comissão Aprovada (US$)</t>
        </is>
      </c>
    </row>
    <row r="10">
      <c r="A10" s="7">
        <f>SUM('Campanhas Google Ads'!$G$2:$G$60)</f>
        <v/>
      </c>
      <c r="D10" s="8">
        <f>COUNTIFS('Vendas (Conversões)'!$A$2:$A$400,"&gt;="&amp;$B$4,'Vendas (Conversões)'!$A$2:$A$400,"&lt;="&amp;$B$5,'Vendas (Conversões)'!$G$2:$G$400,"Aprovada")</f>
        <v/>
      </c>
      <c r="G10" s="9">
        <f>SUMIFS('Vendas (Conversões)'!$F$2:$F$400,'Vendas (Conversões)'!$A$2:$A$400,"&gt;="&amp;$B$4,'Vendas (Conversões)'!$A$2:$A$400,"&lt;="&amp;$B$5,'Vendas (Conversões)'!$G$2:$G$400,"Aprovada")</f>
        <v/>
      </c>
    </row>
    <row r="12">
      <c r="A12" s="6" t="inlineStr">
        <is>
          <t>Comissão Aprovada (R$)</t>
        </is>
      </c>
      <c r="D12" s="6" t="inlineStr">
        <is>
          <t>ROI</t>
        </is>
      </c>
      <c r="G12" s="6" t="inlineStr">
        <is>
          <t>CPA - Custo por Venda (R$)</t>
        </is>
      </c>
    </row>
    <row r="13">
      <c r="A13" s="7">
        <f>(SUMIFS('Vendas (Conversões)'!$F$2:$F$400,'Vendas (Conversões)'!$A$2:$A$400,"&gt;="&amp;$B$4,'Vendas (Conversões)'!$A$2:$A$400,"&lt;="&amp;$B$5,'Vendas (Conversões)'!$G$2:$G$400,"Aprovada"))*$B$6</f>
        <v/>
      </c>
      <c r="D13" s="10">
        <f>IF(SUM('Campanhas Google Ads'!$G$2:$G$60)=0,0,(((SUMIFS('Vendas (Conversões)'!$F$2:$F$400,'Vendas (Conversões)'!$A$2:$A$400,"&gt;="&amp;$B$4,'Vendas (Conversões)'!$A$2:$A$400,"&lt;="&amp;$B$5,'Vendas (Conversões)'!$G$2:$G$400,"Aprovada"))*$B$6)-(SUM('Campanhas Google Ads'!$G$2:$G$60)))/(SUM('Campanhas Google Ads'!$G$2:$G$60)))</f>
        <v/>
      </c>
      <c r="G13" s="7">
        <f>IF(COUNTIFS('Vendas (Conversões)'!$A$2:$A$400,"&gt;="&amp;$B$4,'Vendas (Conversões)'!$A$2:$A$400,"&lt;="&amp;$B$5,'Vendas (Conversões)'!$G$2:$G$400,"Aprovada")=0,0,(SUM('Campanhas Google Ads'!$G$2:$G$60))/(COUNTIFS('Vendas (Conversões)'!$A$2:$A$400,"&gt;="&amp;$B$4,'Vendas (Conversões)'!$A$2:$A$400,"&lt;="&amp;$B$5,'Vendas (Conversões)'!$G$2:$G$400,"Aprovada")))</f>
        <v/>
      </c>
    </row>
    <row r="15">
      <c r="A15" s="11" t="inlineStr">
        <is>
          <t>Funil de Vendas (período selecionado)</t>
        </is>
      </c>
    </row>
    <row r="16">
      <c r="A16" s="12" t="inlineStr">
        <is>
          <t>Status</t>
        </is>
      </c>
      <c r="B16" s="12" t="inlineStr">
        <is>
          <t>Quantidade</t>
        </is>
      </c>
    </row>
    <row r="17">
      <c r="A17" s="13" t="inlineStr">
        <is>
          <t>Pendente</t>
        </is>
      </c>
      <c r="B17" s="14">
        <f>COUNTIFS('Vendas (Conversões)'!$A$2:$A$400,"&gt;="&amp;$B$4,'Vendas (Conversões)'!$A$2:$A$400,"&lt;="&amp;$B$5,'Vendas (Conversões)'!$G$2:$G$400,"Pendente")</f>
        <v/>
      </c>
    </row>
    <row r="18">
      <c r="A18" s="13" t="inlineStr">
        <is>
          <t>Aprovada</t>
        </is>
      </c>
      <c r="B18" s="14">
        <f>COUNTIFS('Vendas (Conversões)'!$A$2:$A$400,"&gt;="&amp;$B$4,'Vendas (Conversões)'!$A$2:$A$400,"&lt;="&amp;$B$5,'Vendas (Conversões)'!$G$2:$G$400,"Aprovada")</f>
        <v/>
      </c>
    </row>
    <row r="19">
      <c r="A19" s="13" t="inlineStr">
        <is>
          <t>Cancelada/Reembolsada</t>
        </is>
      </c>
      <c r="B19" s="14">
        <f>COUNTIFS('Vendas (Conversões)'!$A$2:$A$400,"&gt;="&amp;$B$4,'Vendas (Conversões)'!$A$2:$A$400,"&lt;="&amp;$B$5,'Vendas (Conversões)'!$G$2:$G$400,"Cancelada/Reembolsada")</f>
        <v/>
      </c>
    </row>
  </sheetData>
  <mergeCells count="15">
    <mergeCell ref="G12:H12"/>
    <mergeCell ref="D10:E10"/>
    <mergeCell ref="A15:H15"/>
    <mergeCell ref="D13:E13"/>
    <mergeCell ref="A2:H2"/>
    <mergeCell ref="G10:H10"/>
    <mergeCell ref="A10:B10"/>
    <mergeCell ref="A13:B13"/>
    <mergeCell ref="A1:H1"/>
    <mergeCell ref="A9:B9"/>
    <mergeCell ref="G9:H9"/>
    <mergeCell ref="D9:E9"/>
    <mergeCell ref="G13:H13"/>
    <mergeCell ref="D12:E12"/>
    <mergeCell ref="A12:B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6" customWidth="1" min="8" max="8"/>
  </cols>
  <sheetData>
    <row r="1">
      <c r="A1" s="15" t="inlineStr">
        <is>
          <t>Data</t>
        </is>
      </c>
      <c r="B1" s="15" t="inlineStr">
        <is>
          <t>Conferir métricas das campanhas (gasto, cliques, CPC)</t>
        </is>
      </c>
      <c r="C1" s="15" t="inlineStr">
        <is>
          <t>Pausar/ajustar anúncios com CPA acima da meta</t>
        </is>
      </c>
      <c r="D1" s="15" t="inlineStr">
        <is>
          <t>Checar políticas do Google Ads (evitar suspensão)</t>
        </is>
      </c>
      <c r="E1" s="15" t="inlineStr">
        <is>
          <t>Conferir vendas/comissões na plataforma de afiliado</t>
        </is>
      </c>
      <c r="F1" s="15" t="inlineStr">
        <is>
          <t>Atualizar status das vendas (Pendente/Aprovada/Cancelada)</t>
        </is>
      </c>
      <c r="G1" s="15" t="inlineStr">
        <is>
          <t>Testar ou otimizar criativos e página de vendas</t>
        </is>
      </c>
      <c r="H1" s="15" t="inlineStr">
        <is>
          <t>Observações</t>
        </is>
      </c>
    </row>
    <row r="2">
      <c r="A2" s="16" t="n">
        <v>46266</v>
      </c>
      <c r="B2" s="17" t="inlineStr">
        <is>
          <t>Feito</t>
        </is>
      </c>
      <c r="C2" s="17" t="inlineStr">
        <is>
          <t>Feito</t>
        </is>
      </c>
      <c r="D2" s="17" t="inlineStr">
        <is>
          <t>Feito</t>
        </is>
      </c>
      <c r="E2" s="17" t="inlineStr">
        <is>
          <t>Feito</t>
        </is>
      </c>
      <c r="F2" s="17" t="inlineStr">
        <is>
          <t>Feito</t>
        </is>
      </c>
      <c r="G2" s="17" t="inlineStr">
        <is>
          <t>Pendente</t>
        </is>
      </c>
      <c r="H2" s="17" t="inlineStr"/>
    </row>
    <row r="3">
      <c r="A3" s="16" t="n">
        <v>46267</v>
      </c>
      <c r="B3" s="17" t="inlineStr">
        <is>
          <t>Feito</t>
        </is>
      </c>
      <c r="C3" s="17" t="inlineStr">
        <is>
          <t>Pendente</t>
        </is>
      </c>
      <c r="D3" s="17" t="inlineStr">
        <is>
          <t>Feito</t>
        </is>
      </c>
      <c r="E3" s="17" t="inlineStr">
        <is>
          <t>Feito</t>
        </is>
      </c>
      <c r="F3" s="17" t="inlineStr">
        <is>
          <t>Feito</t>
        </is>
      </c>
      <c r="G3" s="17" t="inlineStr">
        <is>
          <t>Feito</t>
        </is>
      </c>
      <c r="H3" s="17" t="inlineStr"/>
    </row>
    <row r="4">
      <c r="A4" s="16" t="n">
        <v>46268</v>
      </c>
      <c r="B4" s="17" t="inlineStr">
        <is>
          <t>Feito</t>
        </is>
      </c>
      <c r="C4" s="17" t="inlineStr">
        <is>
          <t>Feito</t>
        </is>
      </c>
      <c r="D4" s="17" t="inlineStr">
        <is>
          <t>N/A</t>
        </is>
      </c>
      <c r="E4" s="17" t="inlineStr">
        <is>
          <t>Feito</t>
        </is>
      </c>
      <c r="F4" s="17" t="inlineStr">
        <is>
          <t>Pendente</t>
        </is>
      </c>
      <c r="G4" s="17" t="inlineStr">
        <is>
          <t>Feito</t>
        </is>
      </c>
      <c r="H4" s="17" t="inlineStr"/>
    </row>
    <row r="5">
      <c r="A5" s="16" t="n">
        <v>46269</v>
      </c>
      <c r="B5" s="17" t="inlineStr">
        <is>
          <t>Feito</t>
        </is>
      </c>
      <c r="C5" s="17" t="inlineStr">
        <is>
          <t>Feito</t>
        </is>
      </c>
      <c r="D5" s="17" t="inlineStr">
        <is>
          <t>Feito</t>
        </is>
      </c>
      <c r="E5" s="17" t="inlineStr">
        <is>
          <t>Feito</t>
        </is>
      </c>
      <c r="F5" s="17" t="inlineStr">
        <is>
          <t>Feito</t>
        </is>
      </c>
      <c r="G5" s="17" t="inlineStr">
        <is>
          <t>N/A</t>
        </is>
      </c>
      <c r="H5" s="17" t="inlineStr"/>
    </row>
    <row r="6">
      <c r="A6" s="16" t="n">
        <v>46270</v>
      </c>
      <c r="B6" s="17" t="inlineStr">
        <is>
          <t>Feito</t>
        </is>
      </c>
      <c r="C6" s="17" t="inlineStr">
        <is>
          <t>Feito</t>
        </is>
      </c>
      <c r="D6" s="17" t="inlineStr">
        <is>
          <t>Feito</t>
        </is>
      </c>
      <c r="E6" s="17" t="inlineStr">
        <is>
          <t>Feito</t>
        </is>
      </c>
      <c r="F6" s="17" t="inlineStr">
        <is>
          <t>Feito</t>
        </is>
      </c>
      <c r="G6" s="17" t="inlineStr">
        <is>
          <t>Feito</t>
        </is>
      </c>
      <c r="H6" s="17" t="inlineStr"/>
    </row>
    <row r="7">
      <c r="A7" s="18" t="n"/>
      <c r="B7" s="19" t="n"/>
      <c r="C7" s="19" t="n"/>
      <c r="D7" s="19" t="n"/>
      <c r="E7" s="19" t="n"/>
      <c r="F7" s="19" t="n"/>
      <c r="G7" s="19" t="n"/>
      <c r="H7" s="19" t="n"/>
    </row>
    <row r="8">
      <c r="A8" s="18" t="n"/>
      <c r="B8" s="19" t="n"/>
      <c r="C8" s="19" t="n"/>
      <c r="D8" s="19" t="n"/>
      <c r="E8" s="19" t="n"/>
      <c r="F8" s="19" t="n"/>
      <c r="G8" s="19" t="n"/>
      <c r="H8" s="19" t="n"/>
    </row>
    <row r="9">
      <c r="A9" s="18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8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8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8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8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8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8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8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8" t="n"/>
      <c r="B23" s="19" t="n"/>
      <c r="C23" s="19" t="n"/>
      <c r="D23" s="19" t="n"/>
      <c r="E23" s="19" t="n"/>
      <c r="F23" s="19" t="n"/>
      <c r="G23" s="19" t="n"/>
      <c r="H23" s="19" t="n"/>
    </row>
    <row r="24">
      <c r="A24" s="18" t="n"/>
      <c r="B24" s="19" t="n"/>
      <c r="C24" s="19" t="n"/>
      <c r="D24" s="19" t="n"/>
      <c r="E24" s="19" t="n"/>
      <c r="F24" s="19" t="n"/>
      <c r="G24" s="19" t="n"/>
      <c r="H24" s="19" t="n"/>
    </row>
    <row r="25">
      <c r="A25" s="18" t="n"/>
      <c r="B25" s="19" t="n"/>
      <c r="C25" s="19" t="n"/>
      <c r="D25" s="19" t="n"/>
      <c r="E25" s="19" t="n"/>
      <c r="F25" s="19" t="n"/>
      <c r="G25" s="19" t="n"/>
      <c r="H25" s="19" t="n"/>
    </row>
    <row r="26">
      <c r="A26" s="18" t="n"/>
      <c r="B26" s="19" t="n"/>
      <c r="C26" s="19" t="n"/>
      <c r="D26" s="19" t="n"/>
      <c r="E26" s="19" t="n"/>
      <c r="F26" s="19" t="n"/>
      <c r="G26" s="19" t="n"/>
      <c r="H26" s="19" t="n"/>
    </row>
    <row r="27">
      <c r="A27" s="18" t="n"/>
      <c r="B27" s="19" t="n"/>
      <c r="C27" s="19" t="n"/>
      <c r="D27" s="19" t="n"/>
      <c r="E27" s="19" t="n"/>
      <c r="F27" s="19" t="n"/>
      <c r="G27" s="19" t="n"/>
      <c r="H27" s="19" t="n"/>
    </row>
    <row r="28">
      <c r="A28" s="18" t="n"/>
      <c r="B28" s="19" t="n"/>
      <c r="C28" s="19" t="n"/>
      <c r="D28" s="19" t="n"/>
      <c r="E28" s="19" t="n"/>
      <c r="F28" s="19" t="n"/>
      <c r="G28" s="19" t="n"/>
      <c r="H28" s="19" t="n"/>
    </row>
    <row r="29">
      <c r="A29" s="18" t="n"/>
      <c r="B29" s="19" t="n"/>
      <c r="C29" s="19" t="n"/>
      <c r="D29" s="19" t="n"/>
      <c r="E29" s="19" t="n"/>
      <c r="F29" s="19" t="n"/>
      <c r="G29" s="19" t="n"/>
      <c r="H29" s="19" t="n"/>
    </row>
    <row r="30">
      <c r="A30" s="18" t="n"/>
      <c r="B30" s="19" t="n"/>
      <c r="C30" s="19" t="n"/>
      <c r="D30" s="19" t="n"/>
      <c r="E30" s="19" t="n"/>
      <c r="F30" s="19" t="n"/>
      <c r="G30" s="19" t="n"/>
      <c r="H30" s="19" t="n"/>
    </row>
    <row r="31">
      <c r="A31" s="18" t="n"/>
      <c r="B31" s="19" t="n"/>
      <c r="C31" s="19" t="n"/>
      <c r="D31" s="19" t="n"/>
      <c r="E31" s="19" t="n"/>
      <c r="F31" s="19" t="n"/>
      <c r="G31" s="19" t="n"/>
      <c r="H31" s="19" t="n"/>
    </row>
    <row r="32">
      <c r="A32" s="18" t="n"/>
      <c r="B32" s="19" t="n"/>
      <c r="C32" s="19" t="n"/>
      <c r="D32" s="19" t="n"/>
      <c r="E32" s="19" t="n"/>
      <c r="F32" s="19" t="n"/>
      <c r="G32" s="19" t="n"/>
      <c r="H32" s="19" t="n"/>
    </row>
    <row r="33">
      <c r="A33" s="18" t="n"/>
      <c r="B33" s="19" t="n"/>
      <c r="C33" s="19" t="n"/>
      <c r="D33" s="19" t="n"/>
      <c r="E33" s="19" t="n"/>
      <c r="F33" s="19" t="n"/>
      <c r="G33" s="19" t="n"/>
      <c r="H33" s="19" t="n"/>
    </row>
    <row r="34">
      <c r="A34" s="18" t="n"/>
      <c r="B34" s="19" t="n"/>
      <c r="C34" s="19" t="n"/>
      <c r="D34" s="19" t="n"/>
      <c r="E34" s="19" t="n"/>
      <c r="F34" s="19" t="n"/>
      <c r="G34" s="19" t="n"/>
      <c r="H34" s="19" t="n"/>
    </row>
    <row r="35">
      <c r="A35" s="18" t="n"/>
      <c r="B35" s="19" t="n"/>
      <c r="C35" s="19" t="n"/>
      <c r="D35" s="19" t="n"/>
      <c r="E35" s="19" t="n"/>
      <c r="F35" s="19" t="n"/>
      <c r="G35" s="19" t="n"/>
      <c r="H35" s="19" t="n"/>
    </row>
    <row r="36">
      <c r="A36" s="18" t="n"/>
      <c r="B36" s="19" t="n"/>
      <c r="C36" s="19" t="n"/>
      <c r="D36" s="19" t="n"/>
      <c r="E36" s="19" t="n"/>
      <c r="F36" s="19" t="n"/>
      <c r="G36" s="19" t="n"/>
      <c r="H36" s="19" t="n"/>
    </row>
    <row r="37">
      <c r="A37" s="18" t="n"/>
      <c r="B37" s="19" t="n"/>
      <c r="C37" s="19" t="n"/>
      <c r="D37" s="19" t="n"/>
      <c r="E37" s="19" t="n"/>
      <c r="F37" s="19" t="n"/>
      <c r="G37" s="19" t="n"/>
      <c r="H37" s="19" t="n"/>
    </row>
    <row r="38">
      <c r="A38" s="18" t="n"/>
      <c r="B38" s="19" t="n"/>
      <c r="C38" s="19" t="n"/>
      <c r="D38" s="19" t="n"/>
      <c r="E38" s="19" t="n"/>
      <c r="F38" s="19" t="n"/>
      <c r="G38" s="19" t="n"/>
      <c r="H38" s="19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</row>
    <row r="40">
      <c r="A40" s="18" t="n"/>
      <c r="B40" s="19" t="n"/>
      <c r="C40" s="19" t="n"/>
      <c r="D40" s="19" t="n"/>
      <c r="E40" s="19" t="n"/>
      <c r="F40" s="19" t="n"/>
      <c r="G40" s="19" t="n"/>
      <c r="H40" s="19" t="n"/>
    </row>
    <row r="41">
      <c r="A41" s="18" t="n"/>
      <c r="B41" s="19" t="n"/>
      <c r="C41" s="19" t="n"/>
      <c r="D41" s="19" t="n"/>
      <c r="E41" s="19" t="n"/>
      <c r="F41" s="19" t="n"/>
      <c r="G41" s="19" t="n"/>
      <c r="H41" s="19" t="n"/>
    </row>
    <row r="42">
      <c r="A42" s="18" t="n"/>
      <c r="B42" s="19" t="n"/>
      <c r="C42" s="19" t="n"/>
      <c r="D42" s="19" t="n"/>
      <c r="E42" s="19" t="n"/>
      <c r="F42" s="19" t="n"/>
      <c r="G42" s="19" t="n"/>
      <c r="H42" s="19" t="n"/>
    </row>
    <row r="43">
      <c r="A43" s="18" t="n"/>
      <c r="B43" s="19" t="n"/>
      <c r="C43" s="19" t="n"/>
      <c r="D43" s="19" t="n"/>
      <c r="E43" s="19" t="n"/>
      <c r="F43" s="19" t="n"/>
      <c r="G43" s="19" t="n"/>
      <c r="H43" s="19" t="n"/>
    </row>
    <row r="44">
      <c r="A44" s="18" t="n"/>
      <c r="B44" s="19" t="n"/>
      <c r="C44" s="19" t="n"/>
      <c r="D44" s="19" t="n"/>
      <c r="E44" s="19" t="n"/>
      <c r="F44" s="19" t="n"/>
      <c r="G44" s="19" t="n"/>
      <c r="H44" s="19" t="n"/>
    </row>
    <row r="45">
      <c r="A45" s="18" t="n"/>
      <c r="B45" s="19" t="n"/>
      <c r="C45" s="19" t="n"/>
      <c r="D45" s="19" t="n"/>
      <c r="E45" s="19" t="n"/>
      <c r="F45" s="19" t="n"/>
      <c r="G45" s="19" t="n"/>
      <c r="H45" s="19" t="n"/>
    </row>
    <row r="46">
      <c r="A46" s="18" t="n"/>
      <c r="B46" s="19" t="n"/>
      <c r="C46" s="19" t="n"/>
      <c r="D46" s="19" t="n"/>
      <c r="E46" s="19" t="n"/>
      <c r="F46" s="19" t="n"/>
      <c r="G46" s="19" t="n"/>
      <c r="H46" s="19" t="n"/>
    </row>
    <row r="47">
      <c r="A47" s="18" t="n"/>
      <c r="B47" s="19" t="n"/>
      <c r="C47" s="19" t="n"/>
      <c r="D47" s="19" t="n"/>
      <c r="E47" s="19" t="n"/>
      <c r="F47" s="19" t="n"/>
      <c r="G47" s="19" t="n"/>
      <c r="H47" s="19" t="n"/>
    </row>
    <row r="48">
      <c r="A48" s="18" t="n"/>
      <c r="B48" s="19" t="n"/>
      <c r="C48" s="19" t="n"/>
      <c r="D48" s="19" t="n"/>
      <c r="E48" s="19" t="n"/>
      <c r="F48" s="19" t="n"/>
      <c r="G48" s="19" t="n"/>
      <c r="H48" s="19" t="n"/>
    </row>
    <row r="49">
      <c r="A49" s="18" t="n"/>
      <c r="B49" s="19" t="n"/>
      <c r="C49" s="19" t="n"/>
      <c r="D49" s="19" t="n"/>
      <c r="E49" s="19" t="n"/>
      <c r="F49" s="19" t="n"/>
      <c r="G49" s="19" t="n"/>
      <c r="H49" s="19" t="n"/>
    </row>
    <row r="50">
      <c r="A50" s="18" t="n"/>
      <c r="B50" s="19" t="n"/>
      <c r="C50" s="19" t="n"/>
      <c r="D50" s="19" t="n"/>
      <c r="E50" s="19" t="n"/>
      <c r="F50" s="19" t="n"/>
      <c r="G50" s="19" t="n"/>
      <c r="H50" s="19" t="n"/>
    </row>
    <row r="51">
      <c r="A51" s="18" t="n"/>
      <c r="B51" s="19" t="n"/>
      <c r="C51" s="19" t="n"/>
      <c r="D51" s="19" t="n"/>
      <c r="E51" s="19" t="n"/>
      <c r="F51" s="19" t="n"/>
      <c r="G51" s="19" t="n"/>
      <c r="H51" s="19" t="n"/>
    </row>
    <row r="52">
      <c r="A52" s="18" t="n"/>
      <c r="B52" s="19" t="n"/>
      <c r="C52" s="19" t="n"/>
      <c r="D52" s="19" t="n"/>
      <c r="E52" s="19" t="n"/>
      <c r="F52" s="19" t="n"/>
      <c r="G52" s="19" t="n"/>
      <c r="H52" s="19" t="n"/>
    </row>
    <row r="53">
      <c r="A53" s="18" t="n"/>
      <c r="B53" s="19" t="n"/>
      <c r="C53" s="19" t="n"/>
      <c r="D53" s="19" t="n"/>
      <c r="E53" s="19" t="n"/>
      <c r="F53" s="19" t="n"/>
      <c r="G53" s="19" t="n"/>
      <c r="H53" s="19" t="n"/>
    </row>
    <row r="54">
      <c r="A54" s="18" t="n"/>
      <c r="B54" s="19" t="n"/>
      <c r="C54" s="19" t="n"/>
      <c r="D54" s="19" t="n"/>
      <c r="E54" s="19" t="n"/>
      <c r="F54" s="19" t="n"/>
      <c r="G54" s="19" t="n"/>
      <c r="H54" s="19" t="n"/>
    </row>
    <row r="55">
      <c r="A55" s="18" t="n"/>
      <c r="B55" s="19" t="n"/>
      <c r="C55" s="19" t="n"/>
      <c r="D55" s="19" t="n"/>
      <c r="E55" s="19" t="n"/>
      <c r="F55" s="19" t="n"/>
      <c r="G55" s="19" t="n"/>
      <c r="H55" s="19" t="n"/>
    </row>
    <row r="56">
      <c r="A56" s="18" t="n"/>
      <c r="B56" s="19" t="n"/>
      <c r="C56" s="19" t="n"/>
      <c r="D56" s="19" t="n"/>
      <c r="E56" s="19" t="n"/>
      <c r="F56" s="19" t="n"/>
      <c r="G56" s="19" t="n"/>
      <c r="H56" s="19" t="n"/>
    </row>
    <row r="57">
      <c r="A57" s="18" t="n"/>
      <c r="B57" s="19" t="n"/>
      <c r="C57" s="19" t="n"/>
      <c r="D57" s="19" t="n"/>
      <c r="E57" s="19" t="n"/>
      <c r="F57" s="19" t="n"/>
      <c r="G57" s="19" t="n"/>
      <c r="H57" s="19" t="n"/>
    </row>
    <row r="58">
      <c r="A58" s="18" t="n"/>
      <c r="B58" s="19" t="n"/>
      <c r="C58" s="19" t="n"/>
      <c r="D58" s="19" t="n"/>
      <c r="E58" s="19" t="n"/>
      <c r="F58" s="19" t="n"/>
      <c r="G58" s="19" t="n"/>
      <c r="H58" s="19" t="n"/>
    </row>
    <row r="59">
      <c r="A59" s="18" t="n"/>
      <c r="B59" s="19" t="n"/>
      <c r="C59" s="19" t="n"/>
      <c r="D59" s="19" t="n"/>
      <c r="E59" s="19" t="n"/>
      <c r="F59" s="19" t="n"/>
      <c r="G59" s="19" t="n"/>
      <c r="H59" s="19" t="n"/>
    </row>
    <row r="60">
      <c r="A60" s="18" t="n"/>
      <c r="B60" s="19" t="n"/>
      <c r="C60" s="19" t="n"/>
      <c r="D60" s="19" t="n"/>
      <c r="E60" s="19" t="n"/>
      <c r="F60" s="19" t="n"/>
      <c r="G60" s="19" t="n"/>
      <c r="H60" s="19" t="n"/>
    </row>
    <row r="61">
      <c r="A61" s="18" t="n"/>
      <c r="B61" s="19" t="n"/>
      <c r="C61" s="19" t="n"/>
      <c r="D61" s="19" t="n"/>
      <c r="E61" s="19" t="n"/>
      <c r="F61" s="19" t="n"/>
      <c r="G61" s="19" t="n"/>
      <c r="H61" s="19" t="n"/>
    </row>
    <row r="62">
      <c r="A62" s="18" t="n"/>
      <c r="B62" s="19" t="n"/>
      <c r="C62" s="19" t="n"/>
      <c r="D62" s="19" t="n"/>
      <c r="E62" s="19" t="n"/>
      <c r="F62" s="19" t="n"/>
      <c r="G62" s="19" t="n"/>
      <c r="H62" s="19" t="n"/>
    </row>
    <row r="63">
      <c r="A63" s="18" t="n"/>
      <c r="B63" s="19" t="n"/>
      <c r="C63" s="19" t="n"/>
      <c r="D63" s="19" t="n"/>
      <c r="E63" s="19" t="n"/>
      <c r="F63" s="19" t="n"/>
      <c r="G63" s="19" t="n"/>
      <c r="H63" s="19" t="n"/>
    </row>
    <row r="64">
      <c r="A64" s="18" t="n"/>
      <c r="B64" s="19" t="n"/>
      <c r="C64" s="19" t="n"/>
      <c r="D64" s="19" t="n"/>
      <c r="E64" s="19" t="n"/>
      <c r="F64" s="19" t="n"/>
      <c r="G64" s="19" t="n"/>
      <c r="H64" s="19" t="n"/>
    </row>
    <row r="65">
      <c r="A65" s="18" t="n"/>
      <c r="B65" s="19" t="n"/>
      <c r="C65" s="19" t="n"/>
      <c r="D65" s="19" t="n"/>
      <c r="E65" s="19" t="n"/>
      <c r="F65" s="19" t="n"/>
      <c r="G65" s="19" t="n"/>
      <c r="H65" s="19" t="n"/>
    </row>
    <row r="66">
      <c r="A66" s="18" t="n"/>
      <c r="B66" s="19" t="n"/>
      <c r="C66" s="19" t="n"/>
      <c r="D66" s="19" t="n"/>
      <c r="E66" s="19" t="n"/>
      <c r="F66" s="19" t="n"/>
      <c r="G66" s="19" t="n"/>
      <c r="H66" s="19" t="n"/>
    </row>
    <row r="67">
      <c r="A67" s="18" t="n"/>
      <c r="B67" s="19" t="n"/>
      <c r="C67" s="19" t="n"/>
      <c r="D67" s="19" t="n"/>
      <c r="E67" s="19" t="n"/>
      <c r="F67" s="19" t="n"/>
      <c r="G67" s="19" t="n"/>
      <c r="H67" s="19" t="n"/>
    </row>
    <row r="68">
      <c r="A68" s="18" t="n"/>
      <c r="B68" s="19" t="n"/>
      <c r="C68" s="19" t="n"/>
      <c r="D68" s="19" t="n"/>
      <c r="E68" s="19" t="n"/>
      <c r="F68" s="19" t="n"/>
      <c r="G68" s="19" t="n"/>
      <c r="H68" s="19" t="n"/>
    </row>
    <row r="69">
      <c r="A69" s="18" t="n"/>
      <c r="B69" s="19" t="n"/>
      <c r="C69" s="19" t="n"/>
      <c r="D69" s="19" t="n"/>
      <c r="E69" s="19" t="n"/>
      <c r="F69" s="19" t="n"/>
      <c r="G69" s="19" t="n"/>
      <c r="H69" s="19" t="n"/>
    </row>
    <row r="70">
      <c r="A70" s="18" t="n"/>
      <c r="B70" s="19" t="n"/>
      <c r="C70" s="19" t="n"/>
      <c r="D70" s="19" t="n"/>
      <c r="E70" s="19" t="n"/>
      <c r="F70" s="19" t="n"/>
      <c r="G70" s="19" t="n"/>
      <c r="H70" s="19" t="n"/>
    </row>
    <row r="71">
      <c r="A71" s="18" t="n"/>
      <c r="B71" s="19" t="n"/>
      <c r="C71" s="19" t="n"/>
      <c r="D71" s="19" t="n"/>
      <c r="E71" s="19" t="n"/>
      <c r="F71" s="19" t="n"/>
      <c r="G71" s="19" t="n"/>
      <c r="H71" s="19" t="n"/>
    </row>
    <row r="72">
      <c r="A72" s="18" t="n"/>
      <c r="B72" s="19" t="n"/>
      <c r="C72" s="19" t="n"/>
      <c r="D72" s="19" t="n"/>
      <c r="E72" s="19" t="n"/>
      <c r="F72" s="19" t="n"/>
      <c r="G72" s="19" t="n"/>
      <c r="H72" s="19" t="n"/>
    </row>
    <row r="73">
      <c r="A73" s="18" t="n"/>
      <c r="B73" s="19" t="n"/>
      <c r="C73" s="19" t="n"/>
      <c r="D73" s="19" t="n"/>
      <c r="E73" s="19" t="n"/>
      <c r="F73" s="19" t="n"/>
      <c r="G73" s="19" t="n"/>
      <c r="H73" s="19" t="n"/>
    </row>
    <row r="74">
      <c r="A74" s="18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</row>
    <row r="76">
      <c r="A76" s="18" t="n"/>
      <c r="B76" s="19" t="n"/>
      <c r="C76" s="19" t="n"/>
      <c r="D76" s="19" t="n"/>
      <c r="E76" s="19" t="n"/>
      <c r="F76" s="19" t="n"/>
      <c r="G76" s="19" t="n"/>
      <c r="H76" s="19" t="n"/>
    </row>
    <row r="77">
      <c r="A77" s="18" t="n"/>
      <c r="B77" s="19" t="n"/>
      <c r="C77" s="19" t="n"/>
      <c r="D77" s="19" t="n"/>
      <c r="E77" s="19" t="n"/>
      <c r="F77" s="19" t="n"/>
      <c r="G77" s="19" t="n"/>
      <c r="H77" s="19" t="n"/>
    </row>
    <row r="78">
      <c r="A78" s="18" t="n"/>
      <c r="B78" s="19" t="n"/>
      <c r="C78" s="19" t="n"/>
      <c r="D78" s="19" t="n"/>
      <c r="E78" s="19" t="n"/>
      <c r="F78" s="19" t="n"/>
      <c r="G78" s="19" t="n"/>
      <c r="H78" s="19" t="n"/>
    </row>
    <row r="79">
      <c r="A79" s="18" t="n"/>
      <c r="B79" s="19" t="n"/>
      <c r="C79" s="19" t="n"/>
      <c r="D79" s="19" t="n"/>
      <c r="E79" s="19" t="n"/>
      <c r="F79" s="19" t="n"/>
      <c r="G79" s="19" t="n"/>
      <c r="H79" s="19" t="n"/>
    </row>
    <row r="80">
      <c r="A80" s="18" t="n"/>
      <c r="B80" s="19" t="n"/>
      <c r="C80" s="19" t="n"/>
      <c r="D80" s="19" t="n"/>
      <c r="E80" s="19" t="n"/>
      <c r="F80" s="19" t="n"/>
      <c r="G80" s="19" t="n"/>
      <c r="H80" s="19" t="n"/>
    </row>
    <row r="81">
      <c r="A81" s="18" t="n"/>
      <c r="B81" s="19" t="n"/>
      <c r="C81" s="19" t="n"/>
      <c r="D81" s="19" t="n"/>
      <c r="E81" s="19" t="n"/>
      <c r="F81" s="19" t="n"/>
      <c r="G81" s="19" t="n"/>
      <c r="H81" s="19" t="n"/>
    </row>
    <row r="82">
      <c r="A82" s="18" t="n"/>
      <c r="B82" s="19" t="n"/>
      <c r="C82" s="19" t="n"/>
      <c r="D82" s="19" t="n"/>
      <c r="E82" s="19" t="n"/>
      <c r="F82" s="19" t="n"/>
      <c r="G82" s="19" t="n"/>
      <c r="H82" s="19" t="n"/>
    </row>
    <row r="83">
      <c r="A83" s="18" t="n"/>
      <c r="B83" s="19" t="n"/>
      <c r="C83" s="19" t="n"/>
      <c r="D83" s="19" t="n"/>
      <c r="E83" s="19" t="n"/>
      <c r="F83" s="19" t="n"/>
      <c r="G83" s="19" t="n"/>
      <c r="H83" s="19" t="n"/>
    </row>
    <row r="84">
      <c r="A84" s="18" t="n"/>
      <c r="B84" s="19" t="n"/>
      <c r="C84" s="19" t="n"/>
      <c r="D84" s="19" t="n"/>
      <c r="E84" s="19" t="n"/>
      <c r="F84" s="19" t="n"/>
      <c r="G84" s="19" t="n"/>
      <c r="H84" s="19" t="n"/>
    </row>
    <row r="85">
      <c r="A85" s="18" t="n"/>
      <c r="B85" s="19" t="n"/>
      <c r="C85" s="19" t="n"/>
      <c r="D85" s="19" t="n"/>
      <c r="E85" s="19" t="n"/>
      <c r="F85" s="19" t="n"/>
      <c r="G85" s="19" t="n"/>
      <c r="H85" s="19" t="n"/>
    </row>
    <row r="86">
      <c r="A86" s="18" t="n"/>
      <c r="B86" s="19" t="n"/>
      <c r="C86" s="19" t="n"/>
      <c r="D86" s="19" t="n"/>
      <c r="E86" s="19" t="n"/>
      <c r="F86" s="19" t="n"/>
      <c r="G86" s="19" t="n"/>
      <c r="H86" s="19" t="n"/>
    </row>
    <row r="87">
      <c r="A87" s="18" t="n"/>
      <c r="B87" s="19" t="n"/>
      <c r="C87" s="19" t="n"/>
      <c r="D87" s="19" t="n"/>
      <c r="E87" s="19" t="n"/>
      <c r="F87" s="19" t="n"/>
      <c r="G87" s="19" t="n"/>
      <c r="H87" s="19" t="n"/>
    </row>
    <row r="88">
      <c r="A88" s="18" t="n"/>
      <c r="B88" s="19" t="n"/>
      <c r="C88" s="19" t="n"/>
      <c r="D88" s="19" t="n"/>
      <c r="E88" s="19" t="n"/>
      <c r="F88" s="19" t="n"/>
      <c r="G88" s="19" t="n"/>
      <c r="H88" s="19" t="n"/>
    </row>
    <row r="89">
      <c r="A89" s="18" t="n"/>
      <c r="B89" s="19" t="n"/>
      <c r="C89" s="19" t="n"/>
      <c r="D89" s="19" t="n"/>
      <c r="E89" s="19" t="n"/>
      <c r="F89" s="19" t="n"/>
      <c r="G89" s="19" t="n"/>
      <c r="H89" s="19" t="n"/>
    </row>
    <row r="90">
      <c r="A90" s="18" t="n"/>
      <c r="B90" s="19" t="n"/>
      <c r="C90" s="19" t="n"/>
      <c r="D90" s="19" t="n"/>
      <c r="E90" s="19" t="n"/>
      <c r="F90" s="19" t="n"/>
      <c r="G90" s="19" t="n"/>
      <c r="H90" s="19" t="n"/>
    </row>
    <row r="91">
      <c r="A91" s="18" t="n"/>
      <c r="B91" s="19" t="n"/>
      <c r="C91" s="19" t="n"/>
      <c r="D91" s="19" t="n"/>
      <c r="E91" s="19" t="n"/>
      <c r="F91" s="19" t="n"/>
      <c r="G91" s="19" t="n"/>
      <c r="H91" s="19" t="n"/>
    </row>
    <row r="92">
      <c r="A92" s="18" t="n"/>
      <c r="B92" s="19" t="n"/>
      <c r="C92" s="19" t="n"/>
      <c r="D92" s="19" t="n"/>
      <c r="E92" s="19" t="n"/>
      <c r="F92" s="19" t="n"/>
      <c r="G92" s="19" t="n"/>
      <c r="H92" s="19" t="n"/>
    </row>
    <row r="93">
      <c r="A93" s="18" t="n"/>
      <c r="B93" s="19" t="n"/>
      <c r="C93" s="19" t="n"/>
      <c r="D93" s="19" t="n"/>
      <c r="E93" s="19" t="n"/>
      <c r="F93" s="19" t="n"/>
      <c r="G93" s="19" t="n"/>
      <c r="H93" s="19" t="n"/>
    </row>
    <row r="94">
      <c r="A94" s="18" t="n"/>
      <c r="B94" s="19" t="n"/>
      <c r="C94" s="19" t="n"/>
      <c r="D94" s="19" t="n"/>
      <c r="E94" s="19" t="n"/>
      <c r="F94" s="19" t="n"/>
      <c r="G94" s="19" t="n"/>
      <c r="H94" s="19" t="n"/>
    </row>
    <row r="95">
      <c r="A95" s="18" t="n"/>
      <c r="B95" s="19" t="n"/>
      <c r="C95" s="19" t="n"/>
      <c r="D95" s="19" t="n"/>
      <c r="E95" s="19" t="n"/>
      <c r="F95" s="19" t="n"/>
      <c r="G95" s="19" t="n"/>
      <c r="H95" s="19" t="n"/>
    </row>
    <row r="96">
      <c r="A96" s="18" t="n"/>
      <c r="B96" s="19" t="n"/>
      <c r="C96" s="19" t="n"/>
      <c r="D96" s="19" t="n"/>
      <c r="E96" s="19" t="n"/>
      <c r="F96" s="19" t="n"/>
      <c r="G96" s="19" t="n"/>
      <c r="H96" s="19" t="n"/>
    </row>
    <row r="97">
      <c r="A97" s="18" t="n"/>
      <c r="B97" s="19" t="n"/>
      <c r="C97" s="19" t="n"/>
      <c r="D97" s="19" t="n"/>
      <c r="E97" s="19" t="n"/>
      <c r="F97" s="19" t="n"/>
      <c r="G97" s="19" t="n"/>
      <c r="H97" s="19" t="n"/>
    </row>
    <row r="98">
      <c r="A98" s="18" t="n"/>
      <c r="B98" s="19" t="n"/>
      <c r="C98" s="19" t="n"/>
      <c r="D98" s="19" t="n"/>
      <c r="E98" s="19" t="n"/>
      <c r="F98" s="19" t="n"/>
      <c r="G98" s="19" t="n"/>
      <c r="H98" s="19" t="n"/>
    </row>
    <row r="99">
      <c r="A99" s="18" t="n"/>
      <c r="B99" s="19" t="n"/>
      <c r="C99" s="19" t="n"/>
      <c r="D99" s="19" t="n"/>
      <c r="E99" s="19" t="n"/>
      <c r="F99" s="19" t="n"/>
      <c r="G99" s="19" t="n"/>
      <c r="H99" s="19" t="n"/>
    </row>
    <row r="100">
      <c r="A100" s="18" t="n"/>
      <c r="B100" s="19" t="n"/>
      <c r="C100" s="19" t="n"/>
      <c r="D100" s="19" t="n"/>
      <c r="E100" s="19" t="n"/>
      <c r="F100" s="19" t="n"/>
      <c r="G100" s="19" t="n"/>
      <c r="H100" s="19" t="n"/>
    </row>
    <row r="101">
      <c r="A101" s="18" t="n"/>
      <c r="B101" s="19" t="n"/>
      <c r="C101" s="19" t="n"/>
      <c r="D101" s="19" t="n"/>
      <c r="E101" s="19" t="n"/>
      <c r="F101" s="19" t="n"/>
      <c r="G101" s="19" t="n"/>
      <c r="H101" s="19" t="n"/>
    </row>
    <row r="102">
      <c r="A102" s="18" t="n"/>
      <c r="B102" s="19" t="n"/>
      <c r="C102" s="19" t="n"/>
      <c r="D102" s="19" t="n"/>
      <c r="E102" s="19" t="n"/>
      <c r="F102" s="19" t="n"/>
      <c r="G102" s="19" t="n"/>
      <c r="H102" s="19" t="n"/>
    </row>
    <row r="103">
      <c r="A103" s="18" t="n"/>
      <c r="B103" s="19" t="n"/>
      <c r="C103" s="19" t="n"/>
      <c r="D103" s="19" t="n"/>
      <c r="E103" s="19" t="n"/>
      <c r="F103" s="19" t="n"/>
      <c r="G103" s="19" t="n"/>
      <c r="H103" s="19" t="n"/>
    </row>
    <row r="104">
      <c r="A104" s="18" t="n"/>
      <c r="B104" s="19" t="n"/>
      <c r="C104" s="19" t="n"/>
      <c r="D104" s="19" t="n"/>
      <c r="E104" s="19" t="n"/>
      <c r="F104" s="19" t="n"/>
      <c r="G104" s="19" t="n"/>
      <c r="H104" s="19" t="n"/>
    </row>
    <row r="105">
      <c r="A105" s="18" t="n"/>
      <c r="B105" s="19" t="n"/>
      <c r="C105" s="19" t="n"/>
      <c r="D105" s="19" t="n"/>
      <c r="E105" s="19" t="n"/>
      <c r="F105" s="19" t="n"/>
      <c r="G105" s="19" t="n"/>
      <c r="H105" s="19" t="n"/>
    </row>
    <row r="106">
      <c r="A106" s="18" t="n"/>
      <c r="B106" s="19" t="n"/>
      <c r="C106" s="19" t="n"/>
      <c r="D106" s="19" t="n"/>
      <c r="E106" s="19" t="n"/>
      <c r="F106" s="19" t="n"/>
      <c r="G106" s="19" t="n"/>
      <c r="H106" s="19" t="n"/>
    </row>
    <row r="107">
      <c r="A107" s="18" t="n"/>
      <c r="B107" s="19" t="n"/>
      <c r="C107" s="19" t="n"/>
      <c r="D107" s="19" t="n"/>
      <c r="E107" s="19" t="n"/>
      <c r="F107" s="19" t="n"/>
      <c r="G107" s="19" t="n"/>
      <c r="H107" s="19" t="n"/>
    </row>
    <row r="108">
      <c r="A108" s="18" t="n"/>
      <c r="B108" s="19" t="n"/>
      <c r="C108" s="19" t="n"/>
      <c r="D108" s="19" t="n"/>
      <c r="E108" s="19" t="n"/>
      <c r="F108" s="19" t="n"/>
      <c r="G108" s="19" t="n"/>
      <c r="H108" s="19" t="n"/>
    </row>
    <row r="109">
      <c r="A109" s="18" t="n"/>
      <c r="B109" s="19" t="n"/>
      <c r="C109" s="19" t="n"/>
      <c r="D109" s="19" t="n"/>
      <c r="E109" s="19" t="n"/>
      <c r="F109" s="19" t="n"/>
      <c r="G109" s="19" t="n"/>
      <c r="H109" s="19" t="n"/>
    </row>
    <row r="110">
      <c r="A110" s="18" t="n"/>
      <c r="B110" s="19" t="n"/>
      <c r="C110" s="19" t="n"/>
      <c r="D110" s="19" t="n"/>
      <c r="E110" s="19" t="n"/>
      <c r="F110" s="19" t="n"/>
      <c r="G110" s="19" t="n"/>
      <c r="H110" s="19" t="n"/>
    </row>
    <row r="111">
      <c r="A111" s="18" t="n"/>
      <c r="B111" s="19" t="n"/>
      <c r="C111" s="19" t="n"/>
      <c r="D111" s="19" t="n"/>
      <c r="E111" s="19" t="n"/>
      <c r="F111" s="19" t="n"/>
      <c r="G111" s="19" t="n"/>
      <c r="H111" s="19" t="n"/>
    </row>
    <row r="112">
      <c r="A112" s="18" t="n"/>
      <c r="B112" s="19" t="n"/>
      <c r="C112" s="19" t="n"/>
      <c r="D112" s="19" t="n"/>
      <c r="E112" s="19" t="n"/>
      <c r="F112" s="19" t="n"/>
      <c r="G112" s="19" t="n"/>
      <c r="H112" s="19" t="n"/>
    </row>
    <row r="113">
      <c r="A113" s="18" t="n"/>
      <c r="B113" s="19" t="n"/>
      <c r="C113" s="19" t="n"/>
      <c r="D113" s="19" t="n"/>
      <c r="E113" s="19" t="n"/>
      <c r="F113" s="19" t="n"/>
      <c r="G113" s="19" t="n"/>
      <c r="H113" s="19" t="n"/>
    </row>
    <row r="114">
      <c r="A114" s="18" t="n"/>
      <c r="B114" s="19" t="n"/>
      <c r="C114" s="19" t="n"/>
      <c r="D114" s="19" t="n"/>
      <c r="E114" s="19" t="n"/>
      <c r="F114" s="19" t="n"/>
      <c r="G114" s="19" t="n"/>
      <c r="H114" s="19" t="n"/>
    </row>
    <row r="115">
      <c r="A115" s="18" t="n"/>
      <c r="B115" s="19" t="n"/>
      <c r="C115" s="19" t="n"/>
      <c r="D115" s="19" t="n"/>
      <c r="E115" s="19" t="n"/>
      <c r="F115" s="19" t="n"/>
      <c r="G115" s="19" t="n"/>
      <c r="H115" s="19" t="n"/>
    </row>
    <row r="116">
      <c r="A116" s="18" t="n"/>
      <c r="B116" s="19" t="n"/>
      <c r="C116" s="19" t="n"/>
      <c r="D116" s="19" t="n"/>
      <c r="E116" s="19" t="n"/>
      <c r="F116" s="19" t="n"/>
      <c r="G116" s="19" t="n"/>
      <c r="H116" s="19" t="n"/>
    </row>
    <row r="117">
      <c r="A117" s="18" t="n"/>
      <c r="B117" s="19" t="n"/>
      <c r="C117" s="19" t="n"/>
      <c r="D117" s="19" t="n"/>
      <c r="E117" s="19" t="n"/>
      <c r="F117" s="19" t="n"/>
      <c r="G117" s="19" t="n"/>
      <c r="H117" s="19" t="n"/>
    </row>
    <row r="118">
      <c r="A118" s="18" t="n"/>
      <c r="B118" s="19" t="n"/>
      <c r="C118" s="19" t="n"/>
      <c r="D118" s="19" t="n"/>
      <c r="E118" s="19" t="n"/>
      <c r="F118" s="19" t="n"/>
      <c r="G118" s="19" t="n"/>
      <c r="H118" s="19" t="n"/>
    </row>
    <row r="119">
      <c r="A119" s="18" t="n"/>
      <c r="B119" s="19" t="n"/>
      <c r="C119" s="19" t="n"/>
      <c r="D119" s="19" t="n"/>
      <c r="E119" s="19" t="n"/>
      <c r="F119" s="19" t="n"/>
      <c r="G119" s="19" t="n"/>
      <c r="H119" s="19" t="n"/>
    </row>
    <row r="120">
      <c r="A120" s="18" t="n"/>
      <c r="B120" s="19" t="n"/>
      <c r="C120" s="19" t="n"/>
      <c r="D120" s="19" t="n"/>
      <c r="E120" s="19" t="n"/>
      <c r="F120" s="19" t="n"/>
      <c r="G120" s="19" t="n"/>
      <c r="H120" s="19" t="n"/>
    </row>
    <row r="121">
      <c r="A121" s="18" t="n"/>
      <c r="B121" s="19" t="n"/>
      <c r="C121" s="19" t="n"/>
      <c r="D121" s="19" t="n"/>
      <c r="E121" s="19" t="n"/>
      <c r="F121" s="19" t="n"/>
      <c r="G121" s="19" t="n"/>
      <c r="H121" s="19" t="n"/>
    </row>
    <row r="122">
      <c r="A122" s="18" t="n"/>
      <c r="B122" s="19" t="n"/>
      <c r="C122" s="19" t="n"/>
      <c r="D122" s="19" t="n"/>
      <c r="E122" s="19" t="n"/>
      <c r="F122" s="19" t="n"/>
      <c r="G122" s="19" t="n"/>
      <c r="H122" s="19" t="n"/>
    </row>
    <row r="123">
      <c r="A123" s="18" t="n"/>
      <c r="B123" s="19" t="n"/>
      <c r="C123" s="19" t="n"/>
      <c r="D123" s="19" t="n"/>
      <c r="E123" s="19" t="n"/>
      <c r="F123" s="19" t="n"/>
      <c r="G123" s="19" t="n"/>
      <c r="H123" s="19" t="n"/>
    </row>
    <row r="124">
      <c r="A124" s="18" t="n"/>
      <c r="B124" s="19" t="n"/>
      <c r="C124" s="19" t="n"/>
      <c r="D124" s="19" t="n"/>
      <c r="E124" s="19" t="n"/>
      <c r="F124" s="19" t="n"/>
      <c r="G124" s="19" t="n"/>
      <c r="H124" s="19" t="n"/>
    </row>
    <row r="125">
      <c r="A125" s="18" t="n"/>
      <c r="B125" s="19" t="n"/>
      <c r="C125" s="19" t="n"/>
      <c r="D125" s="19" t="n"/>
      <c r="E125" s="19" t="n"/>
      <c r="F125" s="19" t="n"/>
      <c r="G125" s="19" t="n"/>
      <c r="H125" s="19" t="n"/>
    </row>
    <row r="126">
      <c r="A126" s="18" t="n"/>
      <c r="B126" s="19" t="n"/>
      <c r="C126" s="19" t="n"/>
      <c r="D126" s="19" t="n"/>
      <c r="E126" s="19" t="n"/>
      <c r="F126" s="19" t="n"/>
      <c r="G126" s="19" t="n"/>
      <c r="H126" s="19" t="n"/>
    </row>
    <row r="127">
      <c r="A127" s="18" t="n"/>
      <c r="B127" s="19" t="n"/>
      <c r="C127" s="19" t="n"/>
      <c r="D127" s="19" t="n"/>
      <c r="E127" s="19" t="n"/>
      <c r="F127" s="19" t="n"/>
      <c r="G127" s="19" t="n"/>
      <c r="H127" s="19" t="n"/>
    </row>
    <row r="128">
      <c r="A128" s="18" t="n"/>
      <c r="B128" s="19" t="n"/>
      <c r="C128" s="19" t="n"/>
      <c r="D128" s="19" t="n"/>
      <c r="E128" s="19" t="n"/>
      <c r="F128" s="19" t="n"/>
      <c r="G128" s="19" t="n"/>
      <c r="H128" s="19" t="n"/>
    </row>
    <row r="129">
      <c r="A129" s="18" t="n"/>
      <c r="B129" s="19" t="n"/>
      <c r="C129" s="19" t="n"/>
      <c r="D129" s="19" t="n"/>
      <c r="E129" s="19" t="n"/>
      <c r="F129" s="19" t="n"/>
      <c r="G129" s="19" t="n"/>
      <c r="H129" s="19" t="n"/>
    </row>
    <row r="130">
      <c r="A130" s="18" t="n"/>
      <c r="B130" s="19" t="n"/>
      <c r="C130" s="19" t="n"/>
      <c r="D130" s="19" t="n"/>
      <c r="E130" s="19" t="n"/>
      <c r="F130" s="19" t="n"/>
      <c r="G130" s="19" t="n"/>
      <c r="H130" s="19" t="n"/>
    </row>
    <row r="131">
      <c r="A131" s="18" t="n"/>
      <c r="B131" s="19" t="n"/>
      <c r="C131" s="19" t="n"/>
      <c r="D131" s="19" t="n"/>
      <c r="E131" s="19" t="n"/>
      <c r="F131" s="19" t="n"/>
      <c r="G131" s="19" t="n"/>
      <c r="H131" s="19" t="n"/>
    </row>
    <row r="132">
      <c r="A132" s="18" t="n"/>
      <c r="B132" s="19" t="n"/>
      <c r="C132" s="19" t="n"/>
      <c r="D132" s="19" t="n"/>
      <c r="E132" s="19" t="n"/>
      <c r="F132" s="19" t="n"/>
      <c r="G132" s="19" t="n"/>
      <c r="H132" s="19" t="n"/>
    </row>
    <row r="133">
      <c r="A133" s="18" t="n"/>
      <c r="B133" s="19" t="n"/>
      <c r="C133" s="19" t="n"/>
      <c r="D133" s="19" t="n"/>
      <c r="E133" s="19" t="n"/>
      <c r="F133" s="19" t="n"/>
      <c r="G133" s="19" t="n"/>
      <c r="H133" s="19" t="n"/>
    </row>
    <row r="134">
      <c r="A134" s="18" t="n"/>
      <c r="B134" s="19" t="n"/>
      <c r="C134" s="19" t="n"/>
      <c r="D134" s="19" t="n"/>
      <c r="E134" s="19" t="n"/>
      <c r="F134" s="19" t="n"/>
      <c r="G134" s="19" t="n"/>
      <c r="H134" s="19" t="n"/>
    </row>
    <row r="135">
      <c r="A135" s="18" t="n"/>
      <c r="B135" s="19" t="n"/>
      <c r="C135" s="19" t="n"/>
      <c r="D135" s="19" t="n"/>
      <c r="E135" s="19" t="n"/>
      <c r="F135" s="19" t="n"/>
      <c r="G135" s="19" t="n"/>
      <c r="H135" s="19" t="n"/>
    </row>
    <row r="136">
      <c r="A136" s="18" t="n"/>
      <c r="B136" s="19" t="n"/>
      <c r="C136" s="19" t="n"/>
      <c r="D136" s="19" t="n"/>
      <c r="E136" s="19" t="n"/>
      <c r="F136" s="19" t="n"/>
      <c r="G136" s="19" t="n"/>
      <c r="H136" s="19" t="n"/>
    </row>
    <row r="137">
      <c r="A137" s="18" t="n"/>
      <c r="B137" s="19" t="n"/>
      <c r="C137" s="19" t="n"/>
      <c r="D137" s="19" t="n"/>
      <c r="E137" s="19" t="n"/>
      <c r="F137" s="19" t="n"/>
      <c r="G137" s="19" t="n"/>
      <c r="H137" s="19" t="n"/>
    </row>
    <row r="138">
      <c r="A138" s="18" t="n"/>
      <c r="B138" s="19" t="n"/>
      <c r="C138" s="19" t="n"/>
      <c r="D138" s="19" t="n"/>
      <c r="E138" s="19" t="n"/>
      <c r="F138" s="19" t="n"/>
      <c r="G138" s="19" t="n"/>
      <c r="H138" s="19" t="n"/>
    </row>
    <row r="139">
      <c r="A139" s="18" t="n"/>
      <c r="B139" s="19" t="n"/>
      <c r="C139" s="19" t="n"/>
      <c r="D139" s="19" t="n"/>
      <c r="E139" s="19" t="n"/>
      <c r="F139" s="19" t="n"/>
      <c r="G139" s="19" t="n"/>
      <c r="H139" s="19" t="n"/>
    </row>
    <row r="140">
      <c r="A140" s="18" t="n"/>
      <c r="B140" s="19" t="n"/>
      <c r="C140" s="19" t="n"/>
      <c r="D140" s="19" t="n"/>
      <c r="E140" s="19" t="n"/>
      <c r="F140" s="19" t="n"/>
      <c r="G140" s="19" t="n"/>
      <c r="H140" s="19" t="n"/>
    </row>
    <row r="141">
      <c r="A141" s="18" t="n"/>
      <c r="B141" s="19" t="n"/>
      <c r="C141" s="19" t="n"/>
      <c r="D141" s="19" t="n"/>
      <c r="E141" s="19" t="n"/>
      <c r="F141" s="19" t="n"/>
      <c r="G141" s="19" t="n"/>
      <c r="H141" s="19" t="n"/>
    </row>
    <row r="142">
      <c r="A142" s="18" t="n"/>
      <c r="B142" s="19" t="n"/>
      <c r="C142" s="19" t="n"/>
      <c r="D142" s="19" t="n"/>
      <c r="E142" s="19" t="n"/>
      <c r="F142" s="19" t="n"/>
      <c r="G142" s="19" t="n"/>
      <c r="H142" s="19" t="n"/>
    </row>
    <row r="143">
      <c r="A143" s="18" t="n"/>
      <c r="B143" s="19" t="n"/>
      <c r="C143" s="19" t="n"/>
      <c r="D143" s="19" t="n"/>
      <c r="E143" s="19" t="n"/>
      <c r="F143" s="19" t="n"/>
      <c r="G143" s="19" t="n"/>
      <c r="H143" s="19" t="n"/>
    </row>
    <row r="144">
      <c r="A144" s="18" t="n"/>
      <c r="B144" s="19" t="n"/>
      <c r="C144" s="19" t="n"/>
      <c r="D144" s="19" t="n"/>
      <c r="E144" s="19" t="n"/>
      <c r="F144" s="19" t="n"/>
      <c r="G144" s="19" t="n"/>
      <c r="H144" s="19" t="n"/>
    </row>
    <row r="145">
      <c r="A145" s="18" t="n"/>
      <c r="B145" s="19" t="n"/>
      <c r="C145" s="19" t="n"/>
      <c r="D145" s="19" t="n"/>
      <c r="E145" s="19" t="n"/>
      <c r="F145" s="19" t="n"/>
      <c r="G145" s="19" t="n"/>
      <c r="H145" s="19" t="n"/>
    </row>
    <row r="146">
      <c r="A146" s="18" t="n"/>
      <c r="B146" s="19" t="n"/>
      <c r="C146" s="19" t="n"/>
      <c r="D146" s="19" t="n"/>
      <c r="E146" s="19" t="n"/>
      <c r="F146" s="19" t="n"/>
      <c r="G146" s="19" t="n"/>
      <c r="H146" s="19" t="n"/>
    </row>
    <row r="147">
      <c r="A147" s="18" t="n"/>
      <c r="B147" s="19" t="n"/>
      <c r="C147" s="19" t="n"/>
      <c r="D147" s="19" t="n"/>
      <c r="E147" s="19" t="n"/>
      <c r="F147" s="19" t="n"/>
      <c r="G147" s="19" t="n"/>
      <c r="H147" s="19" t="n"/>
    </row>
    <row r="148">
      <c r="A148" s="18" t="n"/>
      <c r="B148" s="19" t="n"/>
      <c r="C148" s="19" t="n"/>
      <c r="D148" s="19" t="n"/>
      <c r="E148" s="19" t="n"/>
      <c r="F148" s="19" t="n"/>
      <c r="G148" s="19" t="n"/>
      <c r="H148" s="19" t="n"/>
    </row>
    <row r="149">
      <c r="A149" s="18" t="n"/>
      <c r="B149" s="19" t="n"/>
      <c r="C149" s="19" t="n"/>
      <c r="D149" s="19" t="n"/>
      <c r="E149" s="19" t="n"/>
      <c r="F149" s="19" t="n"/>
      <c r="G149" s="19" t="n"/>
      <c r="H149" s="19" t="n"/>
    </row>
    <row r="150">
      <c r="A150" s="18" t="n"/>
      <c r="B150" s="19" t="n"/>
      <c r="C150" s="19" t="n"/>
      <c r="D150" s="19" t="n"/>
      <c r="E150" s="19" t="n"/>
      <c r="F150" s="19" t="n"/>
      <c r="G150" s="19" t="n"/>
      <c r="H150" s="19" t="n"/>
    </row>
    <row r="151">
      <c r="A151" s="18" t="n"/>
      <c r="B151" s="19" t="n"/>
      <c r="C151" s="19" t="n"/>
      <c r="D151" s="19" t="n"/>
      <c r="E151" s="19" t="n"/>
      <c r="F151" s="19" t="n"/>
      <c r="G151" s="19" t="n"/>
      <c r="H151" s="19" t="n"/>
    </row>
    <row r="152">
      <c r="A152" s="18" t="n"/>
      <c r="B152" s="19" t="n"/>
      <c r="C152" s="19" t="n"/>
      <c r="D152" s="19" t="n"/>
      <c r="E152" s="19" t="n"/>
      <c r="F152" s="19" t="n"/>
      <c r="G152" s="19" t="n"/>
      <c r="H152" s="19" t="n"/>
    </row>
    <row r="153">
      <c r="A153" s="18" t="n"/>
      <c r="B153" s="19" t="n"/>
      <c r="C153" s="19" t="n"/>
      <c r="D153" s="19" t="n"/>
      <c r="E153" s="19" t="n"/>
      <c r="F153" s="19" t="n"/>
      <c r="G153" s="19" t="n"/>
      <c r="H153" s="19" t="n"/>
    </row>
    <row r="154">
      <c r="A154" s="18" t="n"/>
      <c r="B154" s="19" t="n"/>
      <c r="C154" s="19" t="n"/>
      <c r="D154" s="19" t="n"/>
      <c r="E154" s="19" t="n"/>
      <c r="F154" s="19" t="n"/>
      <c r="G154" s="19" t="n"/>
      <c r="H154" s="19" t="n"/>
    </row>
    <row r="155">
      <c r="A155" s="18" t="n"/>
      <c r="B155" s="19" t="n"/>
      <c r="C155" s="19" t="n"/>
      <c r="D155" s="19" t="n"/>
      <c r="E155" s="19" t="n"/>
      <c r="F155" s="19" t="n"/>
      <c r="G155" s="19" t="n"/>
      <c r="H155" s="19" t="n"/>
    </row>
    <row r="156">
      <c r="A156" s="18" t="n"/>
      <c r="B156" s="19" t="n"/>
      <c r="C156" s="19" t="n"/>
      <c r="D156" s="19" t="n"/>
      <c r="E156" s="19" t="n"/>
      <c r="F156" s="19" t="n"/>
      <c r="G156" s="19" t="n"/>
      <c r="H156" s="19" t="n"/>
    </row>
    <row r="157">
      <c r="A157" s="18" t="n"/>
      <c r="B157" s="19" t="n"/>
      <c r="C157" s="19" t="n"/>
      <c r="D157" s="19" t="n"/>
      <c r="E157" s="19" t="n"/>
      <c r="F157" s="19" t="n"/>
      <c r="G157" s="19" t="n"/>
      <c r="H157" s="19" t="n"/>
    </row>
    <row r="158">
      <c r="A158" s="18" t="n"/>
      <c r="B158" s="19" t="n"/>
      <c r="C158" s="19" t="n"/>
      <c r="D158" s="19" t="n"/>
      <c r="E158" s="19" t="n"/>
      <c r="F158" s="19" t="n"/>
      <c r="G158" s="19" t="n"/>
      <c r="H158" s="19" t="n"/>
    </row>
    <row r="159">
      <c r="A159" s="18" t="n"/>
      <c r="B159" s="19" t="n"/>
      <c r="C159" s="19" t="n"/>
      <c r="D159" s="19" t="n"/>
      <c r="E159" s="19" t="n"/>
      <c r="F159" s="19" t="n"/>
      <c r="G159" s="19" t="n"/>
      <c r="H159" s="19" t="n"/>
    </row>
    <row r="160">
      <c r="A160" s="18" t="n"/>
      <c r="B160" s="19" t="n"/>
      <c r="C160" s="19" t="n"/>
      <c r="D160" s="19" t="n"/>
      <c r="E160" s="19" t="n"/>
      <c r="F160" s="19" t="n"/>
      <c r="G160" s="19" t="n"/>
      <c r="H160" s="19" t="n"/>
    </row>
    <row r="161">
      <c r="A161" s="18" t="n"/>
      <c r="B161" s="19" t="n"/>
      <c r="C161" s="19" t="n"/>
      <c r="D161" s="19" t="n"/>
      <c r="E161" s="19" t="n"/>
      <c r="F161" s="19" t="n"/>
      <c r="G161" s="19" t="n"/>
      <c r="H161" s="19" t="n"/>
    </row>
    <row r="162">
      <c r="A162" s="18" t="n"/>
      <c r="B162" s="19" t="n"/>
      <c r="C162" s="19" t="n"/>
      <c r="D162" s="19" t="n"/>
      <c r="E162" s="19" t="n"/>
      <c r="F162" s="19" t="n"/>
      <c r="G162" s="19" t="n"/>
      <c r="H162" s="19" t="n"/>
    </row>
    <row r="163">
      <c r="A163" s="18" t="n"/>
      <c r="B163" s="19" t="n"/>
      <c r="C163" s="19" t="n"/>
      <c r="D163" s="19" t="n"/>
      <c r="E163" s="19" t="n"/>
      <c r="F163" s="19" t="n"/>
      <c r="G163" s="19" t="n"/>
      <c r="H163" s="19" t="n"/>
    </row>
    <row r="164">
      <c r="A164" s="18" t="n"/>
      <c r="B164" s="19" t="n"/>
      <c r="C164" s="19" t="n"/>
      <c r="D164" s="19" t="n"/>
      <c r="E164" s="19" t="n"/>
      <c r="F164" s="19" t="n"/>
      <c r="G164" s="19" t="n"/>
      <c r="H164" s="19" t="n"/>
    </row>
    <row r="165">
      <c r="A165" s="18" t="n"/>
      <c r="B165" s="19" t="n"/>
      <c r="C165" s="19" t="n"/>
      <c r="D165" s="19" t="n"/>
      <c r="E165" s="19" t="n"/>
      <c r="F165" s="19" t="n"/>
      <c r="G165" s="19" t="n"/>
      <c r="H165" s="19" t="n"/>
    </row>
    <row r="166">
      <c r="A166" s="18" t="n"/>
      <c r="B166" s="19" t="n"/>
      <c r="C166" s="19" t="n"/>
      <c r="D166" s="19" t="n"/>
      <c r="E166" s="19" t="n"/>
      <c r="F166" s="19" t="n"/>
      <c r="G166" s="19" t="n"/>
      <c r="H166" s="19" t="n"/>
    </row>
    <row r="167">
      <c r="A167" s="18" t="n"/>
      <c r="B167" s="19" t="n"/>
      <c r="C167" s="19" t="n"/>
      <c r="D167" s="19" t="n"/>
      <c r="E167" s="19" t="n"/>
      <c r="F167" s="19" t="n"/>
      <c r="G167" s="19" t="n"/>
      <c r="H167" s="19" t="n"/>
    </row>
    <row r="168">
      <c r="A168" s="18" t="n"/>
      <c r="B168" s="19" t="n"/>
      <c r="C168" s="19" t="n"/>
      <c r="D168" s="19" t="n"/>
      <c r="E168" s="19" t="n"/>
      <c r="F168" s="19" t="n"/>
      <c r="G168" s="19" t="n"/>
      <c r="H168" s="19" t="n"/>
    </row>
    <row r="169">
      <c r="A169" s="18" t="n"/>
      <c r="B169" s="19" t="n"/>
      <c r="C169" s="19" t="n"/>
      <c r="D169" s="19" t="n"/>
      <c r="E169" s="19" t="n"/>
      <c r="F169" s="19" t="n"/>
      <c r="G169" s="19" t="n"/>
      <c r="H169" s="19" t="n"/>
    </row>
    <row r="170">
      <c r="A170" s="18" t="n"/>
      <c r="B170" s="19" t="n"/>
      <c r="C170" s="19" t="n"/>
      <c r="D170" s="19" t="n"/>
      <c r="E170" s="19" t="n"/>
      <c r="F170" s="19" t="n"/>
      <c r="G170" s="19" t="n"/>
      <c r="H170" s="19" t="n"/>
    </row>
    <row r="171">
      <c r="A171" s="18" t="n"/>
      <c r="B171" s="19" t="n"/>
      <c r="C171" s="19" t="n"/>
      <c r="D171" s="19" t="n"/>
      <c r="E171" s="19" t="n"/>
      <c r="F171" s="19" t="n"/>
      <c r="G171" s="19" t="n"/>
      <c r="H171" s="19" t="n"/>
    </row>
    <row r="172">
      <c r="A172" s="18" t="n"/>
      <c r="B172" s="19" t="n"/>
      <c r="C172" s="19" t="n"/>
      <c r="D172" s="19" t="n"/>
      <c r="E172" s="19" t="n"/>
      <c r="F172" s="19" t="n"/>
      <c r="G172" s="19" t="n"/>
      <c r="H172" s="19" t="n"/>
    </row>
    <row r="173">
      <c r="A173" s="18" t="n"/>
      <c r="B173" s="19" t="n"/>
      <c r="C173" s="19" t="n"/>
      <c r="D173" s="19" t="n"/>
      <c r="E173" s="19" t="n"/>
      <c r="F173" s="19" t="n"/>
      <c r="G173" s="19" t="n"/>
      <c r="H173" s="19" t="n"/>
    </row>
    <row r="174">
      <c r="A174" s="18" t="n"/>
      <c r="B174" s="19" t="n"/>
      <c r="C174" s="19" t="n"/>
      <c r="D174" s="19" t="n"/>
      <c r="E174" s="19" t="n"/>
      <c r="F174" s="19" t="n"/>
      <c r="G174" s="19" t="n"/>
      <c r="H174" s="19" t="n"/>
    </row>
    <row r="175">
      <c r="A175" s="18" t="n"/>
      <c r="B175" s="19" t="n"/>
      <c r="C175" s="19" t="n"/>
      <c r="D175" s="19" t="n"/>
      <c r="E175" s="19" t="n"/>
      <c r="F175" s="19" t="n"/>
      <c r="G175" s="19" t="n"/>
      <c r="H175" s="19" t="n"/>
    </row>
    <row r="176">
      <c r="A176" s="18" t="n"/>
      <c r="B176" s="19" t="n"/>
      <c r="C176" s="19" t="n"/>
      <c r="D176" s="19" t="n"/>
      <c r="E176" s="19" t="n"/>
      <c r="F176" s="19" t="n"/>
      <c r="G176" s="19" t="n"/>
      <c r="H176" s="19" t="n"/>
    </row>
    <row r="177">
      <c r="A177" s="18" t="n"/>
      <c r="B177" s="19" t="n"/>
      <c r="C177" s="19" t="n"/>
      <c r="D177" s="19" t="n"/>
      <c r="E177" s="19" t="n"/>
      <c r="F177" s="19" t="n"/>
      <c r="G177" s="19" t="n"/>
      <c r="H177" s="19" t="n"/>
    </row>
    <row r="178">
      <c r="A178" s="18" t="n"/>
      <c r="B178" s="19" t="n"/>
      <c r="C178" s="19" t="n"/>
      <c r="D178" s="19" t="n"/>
      <c r="E178" s="19" t="n"/>
      <c r="F178" s="19" t="n"/>
      <c r="G178" s="19" t="n"/>
      <c r="H178" s="19" t="n"/>
    </row>
    <row r="179">
      <c r="A179" s="18" t="n"/>
      <c r="B179" s="19" t="n"/>
      <c r="C179" s="19" t="n"/>
      <c r="D179" s="19" t="n"/>
      <c r="E179" s="19" t="n"/>
      <c r="F179" s="19" t="n"/>
      <c r="G179" s="19" t="n"/>
      <c r="H179" s="19" t="n"/>
    </row>
    <row r="180">
      <c r="A180" s="18" t="n"/>
      <c r="B180" s="19" t="n"/>
      <c r="C180" s="19" t="n"/>
      <c r="D180" s="19" t="n"/>
      <c r="E180" s="19" t="n"/>
      <c r="F180" s="19" t="n"/>
      <c r="G180" s="19" t="n"/>
      <c r="H180" s="19" t="n"/>
    </row>
    <row r="181">
      <c r="A181" s="18" t="n"/>
      <c r="B181" s="19" t="n"/>
      <c r="C181" s="19" t="n"/>
      <c r="D181" s="19" t="n"/>
      <c r="E181" s="19" t="n"/>
      <c r="F181" s="19" t="n"/>
      <c r="G181" s="19" t="n"/>
      <c r="H181" s="19" t="n"/>
    </row>
    <row r="182">
      <c r="A182" s="18" t="n"/>
      <c r="B182" s="19" t="n"/>
      <c r="C182" s="19" t="n"/>
      <c r="D182" s="19" t="n"/>
      <c r="E182" s="19" t="n"/>
      <c r="F182" s="19" t="n"/>
      <c r="G182" s="19" t="n"/>
      <c r="H182" s="19" t="n"/>
    </row>
    <row r="183">
      <c r="A183" s="18" t="n"/>
      <c r="B183" s="19" t="n"/>
      <c r="C183" s="19" t="n"/>
      <c r="D183" s="19" t="n"/>
      <c r="E183" s="19" t="n"/>
      <c r="F183" s="19" t="n"/>
      <c r="G183" s="19" t="n"/>
      <c r="H183" s="19" t="n"/>
    </row>
    <row r="184">
      <c r="A184" s="18" t="n"/>
      <c r="B184" s="19" t="n"/>
      <c r="C184" s="19" t="n"/>
      <c r="D184" s="19" t="n"/>
      <c r="E184" s="19" t="n"/>
      <c r="F184" s="19" t="n"/>
      <c r="G184" s="19" t="n"/>
      <c r="H184" s="19" t="n"/>
    </row>
    <row r="185">
      <c r="A185" s="18" t="n"/>
      <c r="B185" s="19" t="n"/>
      <c r="C185" s="19" t="n"/>
      <c r="D185" s="19" t="n"/>
      <c r="E185" s="19" t="n"/>
      <c r="F185" s="19" t="n"/>
      <c r="G185" s="19" t="n"/>
      <c r="H185" s="19" t="n"/>
    </row>
    <row r="186">
      <c r="A186" s="18" t="n"/>
      <c r="B186" s="19" t="n"/>
      <c r="C186" s="19" t="n"/>
      <c r="D186" s="19" t="n"/>
      <c r="E186" s="19" t="n"/>
      <c r="F186" s="19" t="n"/>
      <c r="G186" s="19" t="n"/>
      <c r="H186" s="19" t="n"/>
    </row>
    <row r="187">
      <c r="A187" s="18" t="n"/>
      <c r="B187" s="19" t="n"/>
      <c r="C187" s="19" t="n"/>
      <c r="D187" s="19" t="n"/>
      <c r="E187" s="19" t="n"/>
      <c r="F187" s="19" t="n"/>
      <c r="G187" s="19" t="n"/>
      <c r="H187" s="19" t="n"/>
    </row>
    <row r="188">
      <c r="A188" s="18" t="n"/>
      <c r="B188" s="19" t="n"/>
      <c r="C188" s="19" t="n"/>
      <c r="D188" s="19" t="n"/>
      <c r="E188" s="19" t="n"/>
      <c r="F188" s="19" t="n"/>
      <c r="G188" s="19" t="n"/>
      <c r="H188" s="19" t="n"/>
    </row>
    <row r="189">
      <c r="A189" s="18" t="n"/>
      <c r="B189" s="19" t="n"/>
      <c r="C189" s="19" t="n"/>
      <c r="D189" s="19" t="n"/>
      <c r="E189" s="19" t="n"/>
      <c r="F189" s="19" t="n"/>
      <c r="G189" s="19" t="n"/>
      <c r="H189" s="19" t="n"/>
    </row>
    <row r="190">
      <c r="A190" s="18" t="n"/>
      <c r="B190" s="19" t="n"/>
      <c r="C190" s="19" t="n"/>
      <c r="D190" s="19" t="n"/>
      <c r="E190" s="19" t="n"/>
      <c r="F190" s="19" t="n"/>
      <c r="G190" s="19" t="n"/>
      <c r="H190" s="19" t="n"/>
    </row>
    <row r="191">
      <c r="A191" s="18" t="n"/>
      <c r="B191" s="19" t="n"/>
      <c r="C191" s="19" t="n"/>
      <c r="D191" s="19" t="n"/>
      <c r="E191" s="19" t="n"/>
      <c r="F191" s="19" t="n"/>
      <c r="G191" s="19" t="n"/>
      <c r="H191" s="19" t="n"/>
    </row>
    <row r="192">
      <c r="A192" s="18" t="n"/>
      <c r="B192" s="19" t="n"/>
      <c r="C192" s="19" t="n"/>
      <c r="D192" s="19" t="n"/>
      <c r="E192" s="19" t="n"/>
      <c r="F192" s="19" t="n"/>
      <c r="G192" s="19" t="n"/>
      <c r="H192" s="19" t="n"/>
    </row>
    <row r="193">
      <c r="A193" s="18" t="n"/>
      <c r="B193" s="19" t="n"/>
      <c r="C193" s="19" t="n"/>
      <c r="D193" s="19" t="n"/>
      <c r="E193" s="19" t="n"/>
      <c r="F193" s="19" t="n"/>
      <c r="G193" s="19" t="n"/>
      <c r="H193" s="19" t="n"/>
    </row>
    <row r="194">
      <c r="A194" s="18" t="n"/>
      <c r="B194" s="19" t="n"/>
      <c r="C194" s="19" t="n"/>
      <c r="D194" s="19" t="n"/>
      <c r="E194" s="19" t="n"/>
      <c r="F194" s="19" t="n"/>
      <c r="G194" s="19" t="n"/>
      <c r="H194" s="19" t="n"/>
    </row>
    <row r="195">
      <c r="A195" s="18" t="n"/>
      <c r="B195" s="19" t="n"/>
      <c r="C195" s="19" t="n"/>
      <c r="D195" s="19" t="n"/>
      <c r="E195" s="19" t="n"/>
      <c r="F195" s="19" t="n"/>
      <c r="G195" s="19" t="n"/>
      <c r="H195" s="19" t="n"/>
    </row>
    <row r="196">
      <c r="A196" s="18" t="n"/>
      <c r="B196" s="19" t="n"/>
      <c r="C196" s="19" t="n"/>
      <c r="D196" s="19" t="n"/>
      <c r="E196" s="19" t="n"/>
      <c r="F196" s="19" t="n"/>
      <c r="G196" s="19" t="n"/>
      <c r="H196" s="19" t="n"/>
    </row>
    <row r="197">
      <c r="A197" s="18" t="n"/>
      <c r="B197" s="19" t="n"/>
      <c r="C197" s="19" t="n"/>
      <c r="D197" s="19" t="n"/>
      <c r="E197" s="19" t="n"/>
      <c r="F197" s="19" t="n"/>
      <c r="G197" s="19" t="n"/>
      <c r="H197" s="19" t="n"/>
    </row>
    <row r="198">
      <c r="A198" s="18" t="n"/>
      <c r="B198" s="19" t="n"/>
      <c r="C198" s="19" t="n"/>
      <c r="D198" s="19" t="n"/>
      <c r="E198" s="19" t="n"/>
      <c r="F198" s="19" t="n"/>
      <c r="G198" s="19" t="n"/>
      <c r="H198" s="19" t="n"/>
    </row>
    <row r="199">
      <c r="A199" s="18" t="n"/>
      <c r="B199" s="19" t="n"/>
      <c r="C199" s="19" t="n"/>
      <c r="D199" s="19" t="n"/>
      <c r="E199" s="19" t="n"/>
      <c r="F199" s="19" t="n"/>
      <c r="G199" s="19" t="n"/>
      <c r="H199" s="19" t="n"/>
    </row>
    <row r="200">
      <c r="A200" s="18" t="n"/>
      <c r="B200" s="19" t="n"/>
      <c r="C200" s="19" t="n"/>
      <c r="D200" s="19" t="n"/>
      <c r="E200" s="19" t="n"/>
      <c r="F200" s="19" t="n"/>
      <c r="G200" s="19" t="n"/>
      <c r="H200" s="19" t="n"/>
    </row>
    <row r="201">
      <c r="A201" s="18" t="n"/>
      <c r="B201" s="19" t="n"/>
      <c r="C201" s="19" t="n"/>
      <c r="D201" s="19" t="n"/>
      <c r="E201" s="19" t="n"/>
      <c r="F201" s="19" t="n"/>
      <c r="G201" s="19" t="n"/>
      <c r="H201" s="19" t="n"/>
    </row>
    <row r="202">
      <c r="A202" s="18" t="n"/>
      <c r="B202" s="19" t="n"/>
      <c r="C202" s="19" t="n"/>
      <c r="D202" s="19" t="n"/>
      <c r="E202" s="19" t="n"/>
      <c r="F202" s="19" t="n"/>
      <c r="G202" s="19" t="n"/>
      <c r="H202" s="19" t="n"/>
    </row>
    <row r="203">
      <c r="A203" s="18" t="n"/>
      <c r="B203" s="19" t="n"/>
      <c r="C203" s="19" t="n"/>
      <c r="D203" s="19" t="n"/>
      <c r="E203" s="19" t="n"/>
      <c r="F203" s="19" t="n"/>
      <c r="G203" s="19" t="n"/>
      <c r="H203" s="19" t="n"/>
    </row>
    <row r="204">
      <c r="A204" s="18" t="n"/>
      <c r="B204" s="19" t="n"/>
      <c r="C204" s="19" t="n"/>
      <c r="D204" s="19" t="n"/>
      <c r="E204" s="19" t="n"/>
      <c r="F204" s="19" t="n"/>
      <c r="G204" s="19" t="n"/>
      <c r="H204" s="19" t="n"/>
    </row>
    <row r="205">
      <c r="A205" s="18" t="n"/>
      <c r="B205" s="19" t="n"/>
      <c r="C205" s="19" t="n"/>
      <c r="D205" s="19" t="n"/>
      <c r="E205" s="19" t="n"/>
      <c r="F205" s="19" t="n"/>
      <c r="G205" s="19" t="n"/>
      <c r="H205" s="19" t="n"/>
    </row>
    <row r="206">
      <c r="A206" s="18" t="n"/>
      <c r="B206" s="19" t="n"/>
      <c r="C206" s="19" t="n"/>
      <c r="D206" s="19" t="n"/>
      <c r="E206" s="19" t="n"/>
      <c r="F206" s="19" t="n"/>
      <c r="G206" s="19" t="n"/>
      <c r="H206" s="19" t="n"/>
    </row>
    <row r="207">
      <c r="A207" s="18" t="n"/>
      <c r="B207" s="19" t="n"/>
      <c r="C207" s="19" t="n"/>
      <c r="D207" s="19" t="n"/>
      <c r="E207" s="19" t="n"/>
      <c r="F207" s="19" t="n"/>
      <c r="G207" s="19" t="n"/>
      <c r="H207" s="19" t="n"/>
    </row>
    <row r="208">
      <c r="A208" s="18" t="n"/>
      <c r="B208" s="19" t="n"/>
      <c r="C208" s="19" t="n"/>
      <c r="D208" s="19" t="n"/>
      <c r="E208" s="19" t="n"/>
      <c r="F208" s="19" t="n"/>
      <c r="G208" s="19" t="n"/>
      <c r="H208" s="19" t="n"/>
    </row>
    <row r="209">
      <c r="A209" s="18" t="n"/>
      <c r="B209" s="19" t="n"/>
      <c r="C209" s="19" t="n"/>
      <c r="D209" s="19" t="n"/>
      <c r="E209" s="19" t="n"/>
      <c r="F209" s="19" t="n"/>
      <c r="G209" s="19" t="n"/>
      <c r="H209" s="19" t="n"/>
    </row>
    <row r="210">
      <c r="A210" s="18" t="n"/>
      <c r="B210" s="19" t="n"/>
      <c r="C210" s="19" t="n"/>
      <c r="D210" s="19" t="n"/>
      <c r="E210" s="19" t="n"/>
      <c r="F210" s="19" t="n"/>
      <c r="G210" s="19" t="n"/>
      <c r="H210" s="19" t="n"/>
    </row>
    <row r="211">
      <c r="A211" s="18" t="n"/>
      <c r="B211" s="19" t="n"/>
      <c r="C211" s="19" t="n"/>
      <c r="D211" s="19" t="n"/>
      <c r="E211" s="19" t="n"/>
      <c r="F211" s="19" t="n"/>
      <c r="G211" s="19" t="n"/>
      <c r="H211" s="19" t="n"/>
    </row>
    <row r="212">
      <c r="A212" s="18" t="n"/>
      <c r="B212" s="19" t="n"/>
      <c r="C212" s="19" t="n"/>
      <c r="D212" s="19" t="n"/>
      <c r="E212" s="19" t="n"/>
      <c r="F212" s="19" t="n"/>
      <c r="G212" s="19" t="n"/>
      <c r="H212" s="19" t="n"/>
    </row>
    <row r="213">
      <c r="A213" s="18" t="n"/>
      <c r="B213" s="19" t="n"/>
      <c r="C213" s="19" t="n"/>
      <c r="D213" s="19" t="n"/>
      <c r="E213" s="19" t="n"/>
      <c r="F213" s="19" t="n"/>
      <c r="G213" s="19" t="n"/>
      <c r="H213" s="19" t="n"/>
    </row>
    <row r="214">
      <c r="A214" s="18" t="n"/>
      <c r="B214" s="19" t="n"/>
      <c r="C214" s="19" t="n"/>
      <c r="D214" s="19" t="n"/>
      <c r="E214" s="19" t="n"/>
      <c r="F214" s="19" t="n"/>
      <c r="G214" s="19" t="n"/>
      <c r="H214" s="19" t="n"/>
    </row>
    <row r="215">
      <c r="A215" s="18" t="n"/>
      <c r="B215" s="19" t="n"/>
      <c r="C215" s="19" t="n"/>
      <c r="D215" s="19" t="n"/>
      <c r="E215" s="19" t="n"/>
      <c r="F215" s="19" t="n"/>
      <c r="G215" s="19" t="n"/>
      <c r="H215" s="19" t="n"/>
    </row>
    <row r="216">
      <c r="A216" s="18" t="n"/>
      <c r="B216" s="19" t="n"/>
      <c r="C216" s="19" t="n"/>
      <c r="D216" s="19" t="n"/>
      <c r="E216" s="19" t="n"/>
      <c r="F216" s="19" t="n"/>
      <c r="G216" s="19" t="n"/>
      <c r="H216" s="19" t="n"/>
    </row>
    <row r="217">
      <c r="A217" s="18" t="n"/>
      <c r="B217" s="19" t="n"/>
      <c r="C217" s="19" t="n"/>
      <c r="D217" s="19" t="n"/>
      <c r="E217" s="19" t="n"/>
      <c r="F217" s="19" t="n"/>
      <c r="G217" s="19" t="n"/>
      <c r="H217" s="19" t="n"/>
    </row>
    <row r="218">
      <c r="A218" s="18" t="n"/>
      <c r="B218" s="19" t="n"/>
      <c r="C218" s="19" t="n"/>
      <c r="D218" s="19" t="n"/>
      <c r="E218" s="19" t="n"/>
      <c r="F218" s="19" t="n"/>
      <c r="G218" s="19" t="n"/>
      <c r="H218" s="19" t="n"/>
    </row>
    <row r="219">
      <c r="A219" s="18" t="n"/>
      <c r="B219" s="19" t="n"/>
      <c r="C219" s="19" t="n"/>
      <c r="D219" s="19" t="n"/>
      <c r="E219" s="19" t="n"/>
      <c r="F219" s="19" t="n"/>
      <c r="G219" s="19" t="n"/>
      <c r="H219" s="19" t="n"/>
    </row>
    <row r="220">
      <c r="A220" s="18" t="n"/>
      <c r="B220" s="19" t="n"/>
      <c r="C220" s="19" t="n"/>
      <c r="D220" s="19" t="n"/>
      <c r="E220" s="19" t="n"/>
      <c r="F220" s="19" t="n"/>
      <c r="G220" s="19" t="n"/>
      <c r="H220" s="19" t="n"/>
    </row>
    <row r="221">
      <c r="A221" s="18" t="n"/>
      <c r="B221" s="19" t="n"/>
      <c r="C221" s="19" t="n"/>
      <c r="D221" s="19" t="n"/>
      <c r="E221" s="19" t="n"/>
      <c r="F221" s="19" t="n"/>
      <c r="G221" s="19" t="n"/>
      <c r="H221" s="19" t="n"/>
    </row>
    <row r="222">
      <c r="A222" s="18" t="n"/>
      <c r="B222" s="19" t="n"/>
      <c r="C222" s="19" t="n"/>
      <c r="D222" s="19" t="n"/>
      <c r="E222" s="19" t="n"/>
      <c r="F222" s="19" t="n"/>
      <c r="G222" s="19" t="n"/>
      <c r="H222" s="19" t="n"/>
    </row>
    <row r="223">
      <c r="A223" s="18" t="n"/>
      <c r="B223" s="19" t="n"/>
      <c r="C223" s="19" t="n"/>
      <c r="D223" s="19" t="n"/>
      <c r="E223" s="19" t="n"/>
      <c r="F223" s="19" t="n"/>
      <c r="G223" s="19" t="n"/>
      <c r="H223" s="19" t="n"/>
    </row>
    <row r="224">
      <c r="A224" s="18" t="n"/>
      <c r="B224" s="19" t="n"/>
      <c r="C224" s="19" t="n"/>
      <c r="D224" s="19" t="n"/>
      <c r="E224" s="19" t="n"/>
      <c r="F224" s="19" t="n"/>
      <c r="G224" s="19" t="n"/>
      <c r="H224" s="19" t="n"/>
    </row>
    <row r="225">
      <c r="A225" s="18" t="n"/>
      <c r="B225" s="19" t="n"/>
      <c r="C225" s="19" t="n"/>
      <c r="D225" s="19" t="n"/>
      <c r="E225" s="19" t="n"/>
      <c r="F225" s="19" t="n"/>
      <c r="G225" s="19" t="n"/>
      <c r="H225" s="19" t="n"/>
    </row>
    <row r="226">
      <c r="A226" s="18" t="n"/>
      <c r="B226" s="19" t="n"/>
      <c r="C226" s="19" t="n"/>
      <c r="D226" s="19" t="n"/>
      <c r="E226" s="19" t="n"/>
      <c r="F226" s="19" t="n"/>
      <c r="G226" s="19" t="n"/>
      <c r="H226" s="19" t="n"/>
    </row>
    <row r="227">
      <c r="A227" s="18" t="n"/>
      <c r="B227" s="19" t="n"/>
      <c r="C227" s="19" t="n"/>
      <c r="D227" s="19" t="n"/>
      <c r="E227" s="19" t="n"/>
      <c r="F227" s="19" t="n"/>
      <c r="G227" s="19" t="n"/>
      <c r="H227" s="19" t="n"/>
    </row>
    <row r="228">
      <c r="A228" s="18" t="n"/>
      <c r="B228" s="19" t="n"/>
      <c r="C228" s="19" t="n"/>
      <c r="D228" s="19" t="n"/>
      <c r="E228" s="19" t="n"/>
      <c r="F228" s="19" t="n"/>
      <c r="G228" s="19" t="n"/>
      <c r="H228" s="19" t="n"/>
    </row>
    <row r="229">
      <c r="A229" s="18" t="n"/>
      <c r="B229" s="19" t="n"/>
      <c r="C229" s="19" t="n"/>
      <c r="D229" s="19" t="n"/>
      <c r="E229" s="19" t="n"/>
      <c r="F229" s="19" t="n"/>
      <c r="G229" s="19" t="n"/>
      <c r="H229" s="19" t="n"/>
    </row>
    <row r="230">
      <c r="A230" s="18" t="n"/>
      <c r="B230" s="19" t="n"/>
      <c r="C230" s="19" t="n"/>
      <c r="D230" s="19" t="n"/>
      <c r="E230" s="19" t="n"/>
      <c r="F230" s="19" t="n"/>
      <c r="G230" s="19" t="n"/>
      <c r="H230" s="19" t="n"/>
    </row>
    <row r="231">
      <c r="A231" s="18" t="n"/>
      <c r="B231" s="19" t="n"/>
      <c r="C231" s="19" t="n"/>
      <c r="D231" s="19" t="n"/>
      <c r="E231" s="19" t="n"/>
      <c r="F231" s="19" t="n"/>
      <c r="G231" s="19" t="n"/>
      <c r="H231" s="19" t="n"/>
    </row>
    <row r="232">
      <c r="A232" s="18" t="n"/>
      <c r="B232" s="19" t="n"/>
      <c r="C232" s="19" t="n"/>
      <c r="D232" s="19" t="n"/>
      <c r="E232" s="19" t="n"/>
      <c r="F232" s="19" t="n"/>
      <c r="G232" s="19" t="n"/>
      <c r="H232" s="19" t="n"/>
    </row>
    <row r="233">
      <c r="A233" s="18" t="n"/>
      <c r="B233" s="19" t="n"/>
      <c r="C233" s="19" t="n"/>
      <c r="D233" s="19" t="n"/>
      <c r="E233" s="19" t="n"/>
      <c r="F233" s="19" t="n"/>
      <c r="G233" s="19" t="n"/>
      <c r="H233" s="19" t="n"/>
    </row>
    <row r="234">
      <c r="A234" s="18" t="n"/>
      <c r="B234" s="19" t="n"/>
      <c r="C234" s="19" t="n"/>
      <c r="D234" s="19" t="n"/>
      <c r="E234" s="19" t="n"/>
      <c r="F234" s="19" t="n"/>
      <c r="G234" s="19" t="n"/>
      <c r="H234" s="19" t="n"/>
    </row>
    <row r="235">
      <c r="A235" s="18" t="n"/>
      <c r="B235" s="19" t="n"/>
      <c r="C235" s="19" t="n"/>
      <c r="D235" s="19" t="n"/>
      <c r="E235" s="19" t="n"/>
      <c r="F235" s="19" t="n"/>
      <c r="G235" s="19" t="n"/>
      <c r="H235" s="19" t="n"/>
    </row>
    <row r="236">
      <c r="A236" s="18" t="n"/>
      <c r="B236" s="19" t="n"/>
      <c r="C236" s="19" t="n"/>
      <c r="D236" s="19" t="n"/>
      <c r="E236" s="19" t="n"/>
      <c r="F236" s="19" t="n"/>
      <c r="G236" s="19" t="n"/>
      <c r="H236" s="19" t="n"/>
    </row>
    <row r="237">
      <c r="A237" s="18" t="n"/>
      <c r="B237" s="19" t="n"/>
      <c r="C237" s="19" t="n"/>
      <c r="D237" s="19" t="n"/>
      <c r="E237" s="19" t="n"/>
      <c r="F237" s="19" t="n"/>
      <c r="G237" s="19" t="n"/>
      <c r="H237" s="19" t="n"/>
    </row>
    <row r="238">
      <c r="A238" s="18" t="n"/>
      <c r="B238" s="19" t="n"/>
      <c r="C238" s="19" t="n"/>
      <c r="D238" s="19" t="n"/>
      <c r="E238" s="19" t="n"/>
      <c r="F238" s="19" t="n"/>
      <c r="G238" s="19" t="n"/>
      <c r="H238" s="19" t="n"/>
    </row>
    <row r="239">
      <c r="A239" s="18" t="n"/>
      <c r="B239" s="19" t="n"/>
      <c r="C239" s="19" t="n"/>
      <c r="D239" s="19" t="n"/>
      <c r="E239" s="19" t="n"/>
      <c r="F239" s="19" t="n"/>
      <c r="G239" s="19" t="n"/>
      <c r="H239" s="19" t="n"/>
    </row>
    <row r="240">
      <c r="A240" s="18" t="n"/>
      <c r="B240" s="19" t="n"/>
      <c r="C240" s="19" t="n"/>
      <c r="D240" s="19" t="n"/>
      <c r="E240" s="19" t="n"/>
      <c r="F240" s="19" t="n"/>
      <c r="G240" s="19" t="n"/>
      <c r="H240" s="19" t="n"/>
    </row>
    <row r="241">
      <c r="A241" s="18" t="n"/>
      <c r="B241" s="19" t="n"/>
      <c r="C241" s="19" t="n"/>
      <c r="D241" s="19" t="n"/>
      <c r="E241" s="19" t="n"/>
      <c r="F241" s="19" t="n"/>
      <c r="G241" s="19" t="n"/>
      <c r="H241" s="19" t="n"/>
    </row>
    <row r="242">
      <c r="A242" s="18" t="n"/>
      <c r="B242" s="19" t="n"/>
      <c r="C242" s="19" t="n"/>
      <c r="D242" s="19" t="n"/>
      <c r="E242" s="19" t="n"/>
      <c r="F242" s="19" t="n"/>
      <c r="G242" s="19" t="n"/>
      <c r="H242" s="19" t="n"/>
    </row>
    <row r="243">
      <c r="A243" s="18" t="n"/>
      <c r="B243" s="19" t="n"/>
      <c r="C243" s="19" t="n"/>
      <c r="D243" s="19" t="n"/>
      <c r="E243" s="19" t="n"/>
      <c r="F243" s="19" t="n"/>
      <c r="G243" s="19" t="n"/>
      <c r="H243" s="19" t="n"/>
    </row>
    <row r="244">
      <c r="A244" s="18" t="n"/>
      <c r="B244" s="19" t="n"/>
      <c r="C244" s="19" t="n"/>
      <c r="D244" s="19" t="n"/>
      <c r="E244" s="19" t="n"/>
      <c r="F244" s="19" t="n"/>
      <c r="G244" s="19" t="n"/>
      <c r="H244" s="19" t="n"/>
    </row>
    <row r="245">
      <c r="A245" s="18" t="n"/>
      <c r="B245" s="19" t="n"/>
      <c r="C245" s="19" t="n"/>
      <c r="D245" s="19" t="n"/>
      <c r="E245" s="19" t="n"/>
      <c r="F245" s="19" t="n"/>
      <c r="G245" s="19" t="n"/>
      <c r="H245" s="19" t="n"/>
    </row>
    <row r="246">
      <c r="A246" s="18" t="n"/>
      <c r="B246" s="19" t="n"/>
      <c r="C246" s="19" t="n"/>
      <c r="D246" s="19" t="n"/>
      <c r="E246" s="19" t="n"/>
      <c r="F246" s="19" t="n"/>
      <c r="G246" s="19" t="n"/>
      <c r="H246" s="19" t="n"/>
    </row>
    <row r="247">
      <c r="A247" s="18" t="n"/>
      <c r="B247" s="19" t="n"/>
      <c r="C247" s="19" t="n"/>
      <c r="D247" s="19" t="n"/>
      <c r="E247" s="19" t="n"/>
      <c r="F247" s="19" t="n"/>
      <c r="G247" s="19" t="n"/>
      <c r="H247" s="19" t="n"/>
    </row>
    <row r="248">
      <c r="A248" s="18" t="n"/>
      <c r="B248" s="19" t="n"/>
      <c r="C248" s="19" t="n"/>
      <c r="D248" s="19" t="n"/>
      <c r="E248" s="19" t="n"/>
      <c r="F248" s="19" t="n"/>
      <c r="G248" s="19" t="n"/>
      <c r="H248" s="19" t="n"/>
    </row>
    <row r="249">
      <c r="A249" s="18" t="n"/>
      <c r="B249" s="19" t="n"/>
      <c r="C249" s="19" t="n"/>
      <c r="D249" s="19" t="n"/>
      <c r="E249" s="19" t="n"/>
      <c r="F249" s="19" t="n"/>
      <c r="G249" s="19" t="n"/>
      <c r="H249" s="19" t="n"/>
    </row>
    <row r="250">
      <c r="A250" s="18" t="n"/>
      <c r="B250" s="19" t="n"/>
      <c r="C250" s="19" t="n"/>
      <c r="D250" s="19" t="n"/>
      <c r="E250" s="19" t="n"/>
      <c r="F250" s="19" t="n"/>
      <c r="G250" s="19" t="n"/>
      <c r="H250" s="19" t="n"/>
    </row>
    <row r="251">
      <c r="A251" s="18" t="n"/>
      <c r="B251" s="19" t="n"/>
      <c r="C251" s="19" t="n"/>
      <c r="D251" s="19" t="n"/>
      <c r="E251" s="19" t="n"/>
      <c r="F251" s="19" t="n"/>
      <c r="G251" s="19" t="n"/>
      <c r="H251" s="19" t="n"/>
    </row>
    <row r="252">
      <c r="A252" s="18" t="n"/>
      <c r="B252" s="19" t="n"/>
      <c r="C252" s="19" t="n"/>
      <c r="D252" s="19" t="n"/>
      <c r="E252" s="19" t="n"/>
      <c r="F252" s="19" t="n"/>
      <c r="G252" s="19" t="n"/>
      <c r="H252" s="19" t="n"/>
    </row>
    <row r="253">
      <c r="A253" s="18" t="n"/>
      <c r="B253" s="19" t="n"/>
      <c r="C253" s="19" t="n"/>
      <c r="D253" s="19" t="n"/>
      <c r="E253" s="19" t="n"/>
      <c r="F253" s="19" t="n"/>
      <c r="G253" s="19" t="n"/>
      <c r="H253" s="19" t="n"/>
    </row>
    <row r="254">
      <c r="A254" s="18" t="n"/>
      <c r="B254" s="19" t="n"/>
      <c r="C254" s="19" t="n"/>
      <c r="D254" s="19" t="n"/>
      <c r="E254" s="19" t="n"/>
      <c r="F254" s="19" t="n"/>
      <c r="G254" s="19" t="n"/>
      <c r="H254" s="19" t="n"/>
    </row>
    <row r="255">
      <c r="A255" s="18" t="n"/>
      <c r="B255" s="19" t="n"/>
      <c r="C255" s="19" t="n"/>
      <c r="D255" s="19" t="n"/>
      <c r="E255" s="19" t="n"/>
      <c r="F255" s="19" t="n"/>
      <c r="G255" s="19" t="n"/>
      <c r="H255" s="19" t="n"/>
    </row>
    <row r="256">
      <c r="A256" s="18" t="n"/>
      <c r="B256" s="19" t="n"/>
      <c r="C256" s="19" t="n"/>
      <c r="D256" s="19" t="n"/>
      <c r="E256" s="19" t="n"/>
      <c r="F256" s="19" t="n"/>
      <c r="G256" s="19" t="n"/>
      <c r="H256" s="19" t="n"/>
    </row>
    <row r="257">
      <c r="A257" s="18" t="n"/>
      <c r="B257" s="19" t="n"/>
      <c r="C257" s="19" t="n"/>
      <c r="D257" s="19" t="n"/>
      <c r="E257" s="19" t="n"/>
      <c r="F257" s="19" t="n"/>
      <c r="G257" s="19" t="n"/>
      <c r="H257" s="19" t="n"/>
    </row>
    <row r="258">
      <c r="A258" s="18" t="n"/>
      <c r="B258" s="19" t="n"/>
      <c r="C258" s="19" t="n"/>
      <c r="D258" s="19" t="n"/>
      <c r="E258" s="19" t="n"/>
      <c r="F258" s="19" t="n"/>
      <c r="G258" s="19" t="n"/>
      <c r="H258" s="19" t="n"/>
    </row>
    <row r="259">
      <c r="A259" s="18" t="n"/>
      <c r="B259" s="19" t="n"/>
      <c r="C259" s="19" t="n"/>
      <c r="D259" s="19" t="n"/>
      <c r="E259" s="19" t="n"/>
      <c r="F259" s="19" t="n"/>
      <c r="G259" s="19" t="n"/>
      <c r="H259" s="19" t="n"/>
    </row>
    <row r="260">
      <c r="A260" s="18" t="n"/>
      <c r="B260" s="19" t="n"/>
      <c r="C260" s="19" t="n"/>
      <c r="D260" s="19" t="n"/>
      <c r="E260" s="19" t="n"/>
      <c r="F260" s="19" t="n"/>
      <c r="G260" s="19" t="n"/>
      <c r="H260" s="19" t="n"/>
    </row>
    <row r="261">
      <c r="A261" s="18" t="n"/>
      <c r="B261" s="19" t="n"/>
      <c r="C261" s="19" t="n"/>
      <c r="D261" s="19" t="n"/>
      <c r="E261" s="19" t="n"/>
      <c r="F261" s="19" t="n"/>
      <c r="G261" s="19" t="n"/>
      <c r="H261" s="19" t="n"/>
    </row>
    <row r="262">
      <c r="A262" s="18" t="n"/>
      <c r="B262" s="19" t="n"/>
      <c r="C262" s="19" t="n"/>
      <c r="D262" s="19" t="n"/>
      <c r="E262" s="19" t="n"/>
      <c r="F262" s="19" t="n"/>
      <c r="G262" s="19" t="n"/>
      <c r="H262" s="19" t="n"/>
    </row>
    <row r="263">
      <c r="A263" s="18" t="n"/>
      <c r="B263" s="19" t="n"/>
      <c r="C263" s="19" t="n"/>
      <c r="D263" s="19" t="n"/>
      <c r="E263" s="19" t="n"/>
      <c r="F263" s="19" t="n"/>
      <c r="G263" s="19" t="n"/>
      <c r="H263" s="19" t="n"/>
    </row>
    <row r="264">
      <c r="A264" s="18" t="n"/>
      <c r="B264" s="19" t="n"/>
      <c r="C264" s="19" t="n"/>
      <c r="D264" s="19" t="n"/>
      <c r="E264" s="19" t="n"/>
      <c r="F264" s="19" t="n"/>
      <c r="G264" s="19" t="n"/>
      <c r="H264" s="19" t="n"/>
    </row>
    <row r="265">
      <c r="A265" s="18" t="n"/>
      <c r="B265" s="19" t="n"/>
      <c r="C265" s="19" t="n"/>
      <c r="D265" s="19" t="n"/>
      <c r="E265" s="19" t="n"/>
      <c r="F265" s="19" t="n"/>
      <c r="G265" s="19" t="n"/>
      <c r="H265" s="19" t="n"/>
    </row>
    <row r="266">
      <c r="A266" s="18" t="n"/>
      <c r="B266" s="19" t="n"/>
      <c r="C266" s="19" t="n"/>
      <c r="D266" s="19" t="n"/>
      <c r="E266" s="19" t="n"/>
      <c r="F266" s="19" t="n"/>
      <c r="G266" s="19" t="n"/>
      <c r="H266" s="19" t="n"/>
    </row>
    <row r="267">
      <c r="A267" s="18" t="n"/>
      <c r="B267" s="19" t="n"/>
      <c r="C267" s="19" t="n"/>
      <c r="D267" s="19" t="n"/>
      <c r="E267" s="19" t="n"/>
      <c r="F267" s="19" t="n"/>
      <c r="G267" s="19" t="n"/>
      <c r="H267" s="19" t="n"/>
    </row>
    <row r="268">
      <c r="A268" s="18" t="n"/>
      <c r="B268" s="19" t="n"/>
      <c r="C268" s="19" t="n"/>
      <c r="D268" s="19" t="n"/>
      <c r="E268" s="19" t="n"/>
      <c r="F268" s="19" t="n"/>
      <c r="G268" s="19" t="n"/>
      <c r="H268" s="19" t="n"/>
    </row>
    <row r="269">
      <c r="A269" s="18" t="n"/>
      <c r="B269" s="19" t="n"/>
      <c r="C269" s="19" t="n"/>
      <c r="D269" s="19" t="n"/>
      <c r="E269" s="19" t="n"/>
      <c r="F269" s="19" t="n"/>
      <c r="G269" s="19" t="n"/>
      <c r="H269" s="19" t="n"/>
    </row>
    <row r="270">
      <c r="A270" s="18" t="n"/>
      <c r="B270" s="19" t="n"/>
      <c r="C270" s="19" t="n"/>
      <c r="D270" s="19" t="n"/>
      <c r="E270" s="19" t="n"/>
      <c r="F270" s="19" t="n"/>
      <c r="G270" s="19" t="n"/>
      <c r="H270" s="19" t="n"/>
    </row>
    <row r="271">
      <c r="A271" s="18" t="n"/>
      <c r="B271" s="19" t="n"/>
      <c r="C271" s="19" t="n"/>
      <c r="D271" s="19" t="n"/>
      <c r="E271" s="19" t="n"/>
      <c r="F271" s="19" t="n"/>
      <c r="G271" s="19" t="n"/>
      <c r="H271" s="19" t="n"/>
    </row>
    <row r="272">
      <c r="A272" s="18" t="n"/>
      <c r="B272" s="19" t="n"/>
      <c r="C272" s="19" t="n"/>
      <c r="D272" s="19" t="n"/>
      <c r="E272" s="19" t="n"/>
      <c r="F272" s="19" t="n"/>
      <c r="G272" s="19" t="n"/>
      <c r="H272" s="19" t="n"/>
    </row>
    <row r="273">
      <c r="A273" s="18" t="n"/>
      <c r="B273" s="19" t="n"/>
      <c r="C273" s="19" t="n"/>
      <c r="D273" s="19" t="n"/>
      <c r="E273" s="19" t="n"/>
      <c r="F273" s="19" t="n"/>
      <c r="G273" s="19" t="n"/>
      <c r="H273" s="19" t="n"/>
    </row>
    <row r="274">
      <c r="A274" s="18" t="n"/>
      <c r="B274" s="19" t="n"/>
      <c r="C274" s="19" t="n"/>
      <c r="D274" s="19" t="n"/>
      <c r="E274" s="19" t="n"/>
      <c r="F274" s="19" t="n"/>
      <c r="G274" s="19" t="n"/>
      <c r="H274" s="19" t="n"/>
    </row>
    <row r="275">
      <c r="A275" s="18" t="n"/>
      <c r="B275" s="19" t="n"/>
      <c r="C275" s="19" t="n"/>
      <c r="D275" s="19" t="n"/>
      <c r="E275" s="19" t="n"/>
      <c r="F275" s="19" t="n"/>
      <c r="G275" s="19" t="n"/>
      <c r="H275" s="19" t="n"/>
    </row>
    <row r="276">
      <c r="A276" s="18" t="n"/>
      <c r="B276" s="19" t="n"/>
      <c r="C276" s="19" t="n"/>
      <c r="D276" s="19" t="n"/>
      <c r="E276" s="19" t="n"/>
      <c r="F276" s="19" t="n"/>
      <c r="G276" s="19" t="n"/>
      <c r="H276" s="19" t="n"/>
    </row>
    <row r="277">
      <c r="A277" s="18" t="n"/>
      <c r="B277" s="19" t="n"/>
      <c r="C277" s="19" t="n"/>
      <c r="D277" s="19" t="n"/>
      <c r="E277" s="19" t="n"/>
      <c r="F277" s="19" t="n"/>
      <c r="G277" s="19" t="n"/>
      <c r="H277" s="19" t="n"/>
    </row>
    <row r="278">
      <c r="A278" s="18" t="n"/>
      <c r="B278" s="19" t="n"/>
      <c r="C278" s="19" t="n"/>
      <c r="D278" s="19" t="n"/>
      <c r="E278" s="19" t="n"/>
      <c r="F278" s="19" t="n"/>
      <c r="G278" s="19" t="n"/>
      <c r="H278" s="19" t="n"/>
    </row>
    <row r="279">
      <c r="A279" s="18" t="n"/>
      <c r="B279" s="19" t="n"/>
      <c r="C279" s="19" t="n"/>
      <c r="D279" s="19" t="n"/>
      <c r="E279" s="19" t="n"/>
      <c r="F279" s="19" t="n"/>
      <c r="G279" s="19" t="n"/>
      <c r="H279" s="19" t="n"/>
    </row>
    <row r="280">
      <c r="A280" s="18" t="n"/>
      <c r="B280" s="19" t="n"/>
      <c r="C280" s="19" t="n"/>
      <c r="D280" s="19" t="n"/>
      <c r="E280" s="19" t="n"/>
      <c r="F280" s="19" t="n"/>
      <c r="G280" s="19" t="n"/>
      <c r="H280" s="19" t="n"/>
    </row>
    <row r="281">
      <c r="A281" s="18" t="n"/>
      <c r="B281" s="19" t="n"/>
      <c r="C281" s="19" t="n"/>
      <c r="D281" s="19" t="n"/>
      <c r="E281" s="19" t="n"/>
      <c r="F281" s="19" t="n"/>
      <c r="G281" s="19" t="n"/>
      <c r="H281" s="19" t="n"/>
    </row>
    <row r="282">
      <c r="A282" s="18" t="n"/>
      <c r="B282" s="19" t="n"/>
      <c r="C282" s="19" t="n"/>
      <c r="D282" s="19" t="n"/>
      <c r="E282" s="19" t="n"/>
      <c r="F282" s="19" t="n"/>
      <c r="G282" s="19" t="n"/>
      <c r="H282" s="19" t="n"/>
    </row>
    <row r="283">
      <c r="A283" s="18" t="n"/>
      <c r="B283" s="19" t="n"/>
      <c r="C283" s="19" t="n"/>
      <c r="D283" s="19" t="n"/>
      <c r="E283" s="19" t="n"/>
      <c r="F283" s="19" t="n"/>
      <c r="G283" s="19" t="n"/>
      <c r="H283" s="19" t="n"/>
    </row>
    <row r="284">
      <c r="A284" s="18" t="n"/>
      <c r="B284" s="19" t="n"/>
      <c r="C284" s="19" t="n"/>
      <c r="D284" s="19" t="n"/>
      <c r="E284" s="19" t="n"/>
      <c r="F284" s="19" t="n"/>
      <c r="G284" s="19" t="n"/>
      <c r="H284" s="19" t="n"/>
    </row>
    <row r="285">
      <c r="A285" s="18" t="n"/>
      <c r="B285" s="19" t="n"/>
      <c r="C285" s="19" t="n"/>
      <c r="D285" s="19" t="n"/>
      <c r="E285" s="19" t="n"/>
      <c r="F285" s="19" t="n"/>
      <c r="G285" s="19" t="n"/>
      <c r="H285" s="19" t="n"/>
    </row>
    <row r="286">
      <c r="A286" s="18" t="n"/>
      <c r="B286" s="19" t="n"/>
      <c r="C286" s="19" t="n"/>
      <c r="D286" s="19" t="n"/>
      <c r="E286" s="19" t="n"/>
      <c r="F286" s="19" t="n"/>
      <c r="G286" s="19" t="n"/>
      <c r="H286" s="19" t="n"/>
    </row>
    <row r="287">
      <c r="A287" s="18" t="n"/>
      <c r="B287" s="19" t="n"/>
      <c r="C287" s="19" t="n"/>
      <c r="D287" s="19" t="n"/>
      <c r="E287" s="19" t="n"/>
      <c r="F287" s="19" t="n"/>
      <c r="G287" s="19" t="n"/>
      <c r="H287" s="19" t="n"/>
    </row>
    <row r="288">
      <c r="A288" s="18" t="n"/>
      <c r="B288" s="19" t="n"/>
      <c r="C288" s="19" t="n"/>
      <c r="D288" s="19" t="n"/>
      <c r="E288" s="19" t="n"/>
      <c r="F288" s="19" t="n"/>
      <c r="G288" s="19" t="n"/>
      <c r="H288" s="19" t="n"/>
    </row>
    <row r="289">
      <c r="A289" s="18" t="n"/>
      <c r="B289" s="19" t="n"/>
      <c r="C289" s="19" t="n"/>
      <c r="D289" s="19" t="n"/>
      <c r="E289" s="19" t="n"/>
      <c r="F289" s="19" t="n"/>
      <c r="G289" s="19" t="n"/>
      <c r="H289" s="19" t="n"/>
    </row>
    <row r="290">
      <c r="A290" s="18" t="n"/>
      <c r="B290" s="19" t="n"/>
      <c r="C290" s="19" t="n"/>
      <c r="D290" s="19" t="n"/>
      <c r="E290" s="19" t="n"/>
      <c r="F290" s="19" t="n"/>
      <c r="G290" s="19" t="n"/>
      <c r="H290" s="19" t="n"/>
    </row>
    <row r="291">
      <c r="A291" s="18" t="n"/>
      <c r="B291" s="19" t="n"/>
      <c r="C291" s="19" t="n"/>
      <c r="D291" s="19" t="n"/>
      <c r="E291" s="19" t="n"/>
      <c r="F291" s="19" t="n"/>
      <c r="G291" s="19" t="n"/>
      <c r="H291" s="19" t="n"/>
    </row>
    <row r="292">
      <c r="A292" s="18" t="n"/>
      <c r="B292" s="19" t="n"/>
      <c r="C292" s="19" t="n"/>
      <c r="D292" s="19" t="n"/>
      <c r="E292" s="19" t="n"/>
      <c r="F292" s="19" t="n"/>
      <c r="G292" s="19" t="n"/>
      <c r="H292" s="19" t="n"/>
    </row>
    <row r="293">
      <c r="A293" s="18" t="n"/>
      <c r="B293" s="19" t="n"/>
      <c r="C293" s="19" t="n"/>
      <c r="D293" s="19" t="n"/>
      <c r="E293" s="19" t="n"/>
      <c r="F293" s="19" t="n"/>
      <c r="G293" s="19" t="n"/>
      <c r="H293" s="19" t="n"/>
    </row>
    <row r="294">
      <c r="A294" s="18" t="n"/>
      <c r="B294" s="19" t="n"/>
      <c r="C294" s="19" t="n"/>
      <c r="D294" s="19" t="n"/>
      <c r="E294" s="19" t="n"/>
      <c r="F294" s="19" t="n"/>
      <c r="G294" s="19" t="n"/>
      <c r="H294" s="19" t="n"/>
    </row>
    <row r="295">
      <c r="A295" s="18" t="n"/>
      <c r="B295" s="19" t="n"/>
      <c r="C295" s="19" t="n"/>
      <c r="D295" s="19" t="n"/>
      <c r="E295" s="19" t="n"/>
      <c r="F295" s="19" t="n"/>
      <c r="G295" s="19" t="n"/>
      <c r="H295" s="19" t="n"/>
    </row>
    <row r="296">
      <c r="A296" s="18" t="n"/>
      <c r="B296" s="19" t="n"/>
      <c r="C296" s="19" t="n"/>
      <c r="D296" s="19" t="n"/>
      <c r="E296" s="19" t="n"/>
      <c r="F296" s="19" t="n"/>
      <c r="G296" s="19" t="n"/>
      <c r="H296" s="19" t="n"/>
    </row>
    <row r="297">
      <c r="A297" s="18" t="n"/>
      <c r="B297" s="19" t="n"/>
      <c r="C297" s="19" t="n"/>
      <c r="D297" s="19" t="n"/>
      <c r="E297" s="19" t="n"/>
      <c r="F297" s="19" t="n"/>
      <c r="G297" s="19" t="n"/>
      <c r="H297" s="19" t="n"/>
    </row>
    <row r="298">
      <c r="A298" s="18" t="n"/>
      <c r="B298" s="19" t="n"/>
      <c r="C298" s="19" t="n"/>
      <c r="D298" s="19" t="n"/>
      <c r="E298" s="19" t="n"/>
      <c r="F298" s="19" t="n"/>
      <c r="G298" s="19" t="n"/>
      <c r="H298" s="19" t="n"/>
    </row>
    <row r="299">
      <c r="A299" s="18" t="n"/>
      <c r="B299" s="19" t="n"/>
      <c r="C299" s="19" t="n"/>
      <c r="D299" s="19" t="n"/>
      <c r="E299" s="19" t="n"/>
      <c r="F299" s="19" t="n"/>
      <c r="G299" s="19" t="n"/>
      <c r="H299" s="19" t="n"/>
    </row>
    <row r="300">
      <c r="A300" s="18" t="n"/>
      <c r="B300" s="19" t="n"/>
      <c r="C300" s="19" t="n"/>
      <c r="D300" s="19" t="n"/>
      <c r="E300" s="19" t="n"/>
      <c r="F300" s="19" t="n"/>
      <c r="G300" s="19" t="n"/>
      <c r="H300" s="19" t="n"/>
    </row>
    <row r="301">
      <c r="A301" s="18" t="n"/>
      <c r="B301" s="19" t="n"/>
      <c r="C301" s="19" t="n"/>
      <c r="D301" s="19" t="n"/>
      <c r="E301" s="19" t="n"/>
      <c r="F301" s="19" t="n"/>
      <c r="G301" s="19" t="n"/>
      <c r="H301" s="19" t="n"/>
    </row>
    <row r="302">
      <c r="A302" s="18" t="n"/>
      <c r="B302" s="19" t="n"/>
      <c r="C302" s="19" t="n"/>
      <c r="D302" s="19" t="n"/>
      <c r="E302" s="19" t="n"/>
      <c r="F302" s="19" t="n"/>
      <c r="G302" s="19" t="n"/>
      <c r="H302" s="19" t="n"/>
    </row>
    <row r="303">
      <c r="A303" s="18" t="n"/>
      <c r="B303" s="19" t="n"/>
      <c r="C303" s="19" t="n"/>
      <c r="D303" s="19" t="n"/>
      <c r="E303" s="19" t="n"/>
      <c r="F303" s="19" t="n"/>
      <c r="G303" s="19" t="n"/>
      <c r="H303" s="19" t="n"/>
    </row>
    <row r="304">
      <c r="A304" s="18" t="n"/>
      <c r="B304" s="19" t="n"/>
      <c r="C304" s="19" t="n"/>
      <c r="D304" s="19" t="n"/>
      <c r="E304" s="19" t="n"/>
      <c r="F304" s="19" t="n"/>
      <c r="G304" s="19" t="n"/>
      <c r="H304" s="19" t="n"/>
    </row>
    <row r="305">
      <c r="A305" s="18" t="n"/>
      <c r="B305" s="19" t="n"/>
      <c r="C305" s="19" t="n"/>
      <c r="D305" s="19" t="n"/>
      <c r="E305" s="19" t="n"/>
      <c r="F305" s="19" t="n"/>
      <c r="G305" s="19" t="n"/>
      <c r="H305" s="19" t="n"/>
    </row>
    <row r="306">
      <c r="A306" s="18" t="n"/>
      <c r="B306" s="19" t="n"/>
      <c r="C306" s="19" t="n"/>
      <c r="D306" s="19" t="n"/>
      <c r="E306" s="19" t="n"/>
      <c r="F306" s="19" t="n"/>
      <c r="G306" s="19" t="n"/>
      <c r="H306" s="19" t="n"/>
    </row>
    <row r="307">
      <c r="A307" s="18" t="n"/>
      <c r="B307" s="19" t="n"/>
      <c r="C307" s="19" t="n"/>
      <c r="D307" s="19" t="n"/>
      <c r="E307" s="19" t="n"/>
      <c r="F307" s="19" t="n"/>
      <c r="G307" s="19" t="n"/>
      <c r="H307" s="19" t="n"/>
    </row>
    <row r="308">
      <c r="A308" s="18" t="n"/>
      <c r="B308" s="19" t="n"/>
      <c r="C308" s="19" t="n"/>
      <c r="D308" s="19" t="n"/>
      <c r="E308" s="19" t="n"/>
      <c r="F308" s="19" t="n"/>
      <c r="G308" s="19" t="n"/>
      <c r="H308" s="19" t="n"/>
    </row>
    <row r="309">
      <c r="A309" s="18" t="n"/>
      <c r="B309" s="19" t="n"/>
      <c r="C309" s="19" t="n"/>
      <c r="D309" s="19" t="n"/>
      <c r="E309" s="19" t="n"/>
      <c r="F309" s="19" t="n"/>
      <c r="G309" s="19" t="n"/>
      <c r="H309" s="19" t="n"/>
    </row>
    <row r="310">
      <c r="A310" s="18" t="n"/>
      <c r="B310" s="19" t="n"/>
      <c r="C310" s="19" t="n"/>
      <c r="D310" s="19" t="n"/>
      <c r="E310" s="19" t="n"/>
      <c r="F310" s="19" t="n"/>
      <c r="G310" s="19" t="n"/>
      <c r="H310" s="19" t="n"/>
    </row>
    <row r="311">
      <c r="A311" s="18" t="n"/>
      <c r="B311" s="19" t="n"/>
      <c r="C311" s="19" t="n"/>
      <c r="D311" s="19" t="n"/>
      <c r="E311" s="19" t="n"/>
      <c r="F311" s="19" t="n"/>
      <c r="G311" s="19" t="n"/>
      <c r="H311" s="19" t="n"/>
    </row>
    <row r="312">
      <c r="A312" s="18" t="n"/>
      <c r="B312" s="19" t="n"/>
      <c r="C312" s="19" t="n"/>
      <c r="D312" s="19" t="n"/>
      <c r="E312" s="19" t="n"/>
      <c r="F312" s="19" t="n"/>
      <c r="G312" s="19" t="n"/>
      <c r="H312" s="19" t="n"/>
    </row>
    <row r="313">
      <c r="A313" s="18" t="n"/>
      <c r="B313" s="19" t="n"/>
      <c r="C313" s="19" t="n"/>
      <c r="D313" s="19" t="n"/>
      <c r="E313" s="19" t="n"/>
      <c r="F313" s="19" t="n"/>
      <c r="G313" s="19" t="n"/>
      <c r="H313" s="19" t="n"/>
    </row>
    <row r="314">
      <c r="A314" s="18" t="n"/>
      <c r="B314" s="19" t="n"/>
      <c r="C314" s="19" t="n"/>
      <c r="D314" s="19" t="n"/>
      <c r="E314" s="19" t="n"/>
      <c r="F314" s="19" t="n"/>
      <c r="G314" s="19" t="n"/>
      <c r="H314" s="19" t="n"/>
    </row>
    <row r="315">
      <c r="A315" s="18" t="n"/>
      <c r="B315" s="19" t="n"/>
      <c r="C315" s="19" t="n"/>
      <c r="D315" s="19" t="n"/>
      <c r="E315" s="19" t="n"/>
      <c r="F315" s="19" t="n"/>
      <c r="G315" s="19" t="n"/>
      <c r="H315" s="19" t="n"/>
    </row>
    <row r="316">
      <c r="A316" s="18" t="n"/>
      <c r="B316" s="19" t="n"/>
      <c r="C316" s="19" t="n"/>
      <c r="D316" s="19" t="n"/>
      <c r="E316" s="19" t="n"/>
      <c r="F316" s="19" t="n"/>
      <c r="G316" s="19" t="n"/>
      <c r="H316" s="19" t="n"/>
    </row>
    <row r="317">
      <c r="A317" s="18" t="n"/>
      <c r="B317" s="19" t="n"/>
      <c r="C317" s="19" t="n"/>
      <c r="D317" s="19" t="n"/>
      <c r="E317" s="19" t="n"/>
      <c r="F317" s="19" t="n"/>
      <c r="G317" s="19" t="n"/>
      <c r="H317" s="19" t="n"/>
    </row>
    <row r="318">
      <c r="A318" s="18" t="n"/>
      <c r="B318" s="19" t="n"/>
      <c r="C318" s="19" t="n"/>
      <c r="D318" s="19" t="n"/>
      <c r="E318" s="19" t="n"/>
      <c r="F318" s="19" t="n"/>
      <c r="G318" s="19" t="n"/>
      <c r="H318" s="19" t="n"/>
    </row>
    <row r="319">
      <c r="A319" s="18" t="n"/>
      <c r="B319" s="19" t="n"/>
      <c r="C319" s="19" t="n"/>
      <c r="D319" s="19" t="n"/>
      <c r="E319" s="19" t="n"/>
      <c r="F319" s="19" t="n"/>
      <c r="G319" s="19" t="n"/>
      <c r="H319" s="19" t="n"/>
    </row>
    <row r="320">
      <c r="A320" s="18" t="n"/>
      <c r="B320" s="19" t="n"/>
      <c r="C320" s="19" t="n"/>
      <c r="D320" s="19" t="n"/>
      <c r="E320" s="19" t="n"/>
      <c r="F320" s="19" t="n"/>
      <c r="G320" s="19" t="n"/>
      <c r="H320" s="19" t="n"/>
    </row>
    <row r="321">
      <c r="A321" s="18" t="n"/>
      <c r="B321" s="19" t="n"/>
      <c r="C321" s="19" t="n"/>
      <c r="D321" s="19" t="n"/>
      <c r="E321" s="19" t="n"/>
      <c r="F321" s="19" t="n"/>
      <c r="G321" s="19" t="n"/>
      <c r="H321" s="19" t="n"/>
    </row>
    <row r="322">
      <c r="A322" s="18" t="n"/>
      <c r="B322" s="19" t="n"/>
      <c r="C322" s="19" t="n"/>
      <c r="D322" s="19" t="n"/>
      <c r="E322" s="19" t="n"/>
      <c r="F322" s="19" t="n"/>
      <c r="G322" s="19" t="n"/>
      <c r="H322" s="19" t="n"/>
    </row>
    <row r="323">
      <c r="A323" s="18" t="n"/>
      <c r="B323" s="19" t="n"/>
      <c r="C323" s="19" t="n"/>
      <c r="D323" s="19" t="n"/>
      <c r="E323" s="19" t="n"/>
      <c r="F323" s="19" t="n"/>
      <c r="G323" s="19" t="n"/>
      <c r="H323" s="19" t="n"/>
    </row>
    <row r="324">
      <c r="A324" s="18" t="n"/>
      <c r="B324" s="19" t="n"/>
      <c r="C324" s="19" t="n"/>
      <c r="D324" s="19" t="n"/>
      <c r="E324" s="19" t="n"/>
      <c r="F324" s="19" t="n"/>
      <c r="G324" s="19" t="n"/>
      <c r="H324" s="19" t="n"/>
    </row>
    <row r="325">
      <c r="A325" s="18" t="n"/>
      <c r="B325" s="19" t="n"/>
      <c r="C325" s="19" t="n"/>
      <c r="D325" s="19" t="n"/>
      <c r="E325" s="19" t="n"/>
      <c r="F325" s="19" t="n"/>
      <c r="G325" s="19" t="n"/>
      <c r="H325" s="19" t="n"/>
    </row>
    <row r="326">
      <c r="A326" s="18" t="n"/>
      <c r="B326" s="19" t="n"/>
      <c r="C326" s="19" t="n"/>
      <c r="D326" s="19" t="n"/>
      <c r="E326" s="19" t="n"/>
      <c r="F326" s="19" t="n"/>
      <c r="G326" s="19" t="n"/>
      <c r="H326" s="19" t="n"/>
    </row>
    <row r="327">
      <c r="A327" s="18" t="n"/>
      <c r="B327" s="19" t="n"/>
      <c r="C327" s="19" t="n"/>
      <c r="D327" s="19" t="n"/>
      <c r="E327" s="19" t="n"/>
      <c r="F327" s="19" t="n"/>
      <c r="G327" s="19" t="n"/>
      <c r="H327" s="19" t="n"/>
    </row>
    <row r="328">
      <c r="A328" s="18" t="n"/>
      <c r="B328" s="19" t="n"/>
      <c r="C328" s="19" t="n"/>
      <c r="D328" s="19" t="n"/>
      <c r="E328" s="19" t="n"/>
      <c r="F328" s="19" t="n"/>
      <c r="G328" s="19" t="n"/>
      <c r="H328" s="19" t="n"/>
    </row>
    <row r="329">
      <c r="A329" s="18" t="n"/>
      <c r="B329" s="19" t="n"/>
      <c r="C329" s="19" t="n"/>
      <c r="D329" s="19" t="n"/>
      <c r="E329" s="19" t="n"/>
      <c r="F329" s="19" t="n"/>
      <c r="G329" s="19" t="n"/>
      <c r="H329" s="19" t="n"/>
    </row>
    <row r="330">
      <c r="A330" s="18" t="n"/>
      <c r="B330" s="19" t="n"/>
      <c r="C330" s="19" t="n"/>
      <c r="D330" s="19" t="n"/>
      <c r="E330" s="19" t="n"/>
      <c r="F330" s="19" t="n"/>
      <c r="G330" s="19" t="n"/>
      <c r="H330" s="19" t="n"/>
    </row>
    <row r="331">
      <c r="A331" s="18" t="n"/>
      <c r="B331" s="19" t="n"/>
      <c r="C331" s="19" t="n"/>
      <c r="D331" s="19" t="n"/>
      <c r="E331" s="19" t="n"/>
      <c r="F331" s="19" t="n"/>
      <c r="G331" s="19" t="n"/>
      <c r="H331" s="19" t="n"/>
    </row>
    <row r="332">
      <c r="A332" s="18" t="n"/>
      <c r="B332" s="19" t="n"/>
      <c r="C332" s="19" t="n"/>
      <c r="D332" s="19" t="n"/>
      <c r="E332" s="19" t="n"/>
      <c r="F332" s="19" t="n"/>
      <c r="G332" s="19" t="n"/>
      <c r="H332" s="19" t="n"/>
    </row>
    <row r="333">
      <c r="A333" s="18" t="n"/>
      <c r="B333" s="19" t="n"/>
      <c r="C333" s="19" t="n"/>
      <c r="D333" s="19" t="n"/>
      <c r="E333" s="19" t="n"/>
      <c r="F333" s="19" t="n"/>
      <c r="G333" s="19" t="n"/>
      <c r="H333" s="19" t="n"/>
    </row>
    <row r="334">
      <c r="A334" s="18" t="n"/>
      <c r="B334" s="19" t="n"/>
      <c r="C334" s="19" t="n"/>
      <c r="D334" s="19" t="n"/>
      <c r="E334" s="19" t="n"/>
      <c r="F334" s="19" t="n"/>
      <c r="G334" s="19" t="n"/>
      <c r="H334" s="19" t="n"/>
    </row>
    <row r="335">
      <c r="A335" s="18" t="n"/>
      <c r="B335" s="19" t="n"/>
      <c r="C335" s="19" t="n"/>
      <c r="D335" s="19" t="n"/>
      <c r="E335" s="19" t="n"/>
      <c r="F335" s="19" t="n"/>
      <c r="G335" s="19" t="n"/>
      <c r="H335" s="19" t="n"/>
    </row>
    <row r="336">
      <c r="A336" s="18" t="n"/>
      <c r="B336" s="19" t="n"/>
      <c r="C336" s="19" t="n"/>
      <c r="D336" s="19" t="n"/>
      <c r="E336" s="19" t="n"/>
      <c r="F336" s="19" t="n"/>
      <c r="G336" s="19" t="n"/>
      <c r="H336" s="19" t="n"/>
    </row>
    <row r="337">
      <c r="A337" s="18" t="n"/>
      <c r="B337" s="19" t="n"/>
      <c r="C337" s="19" t="n"/>
      <c r="D337" s="19" t="n"/>
      <c r="E337" s="19" t="n"/>
      <c r="F337" s="19" t="n"/>
      <c r="G337" s="19" t="n"/>
      <c r="H337" s="19" t="n"/>
    </row>
    <row r="338">
      <c r="A338" s="18" t="n"/>
      <c r="B338" s="19" t="n"/>
      <c r="C338" s="19" t="n"/>
      <c r="D338" s="19" t="n"/>
      <c r="E338" s="19" t="n"/>
      <c r="F338" s="19" t="n"/>
      <c r="G338" s="19" t="n"/>
      <c r="H338" s="19" t="n"/>
    </row>
    <row r="339">
      <c r="A339" s="18" t="n"/>
      <c r="B339" s="19" t="n"/>
      <c r="C339" s="19" t="n"/>
      <c r="D339" s="19" t="n"/>
      <c r="E339" s="19" t="n"/>
      <c r="F339" s="19" t="n"/>
      <c r="G339" s="19" t="n"/>
      <c r="H339" s="19" t="n"/>
    </row>
    <row r="340">
      <c r="A340" s="18" t="n"/>
      <c r="B340" s="19" t="n"/>
      <c r="C340" s="19" t="n"/>
      <c r="D340" s="19" t="n"/>
      <c r="E340" s="19" t="n"/>
      <c r="F340" s="19" t="n"/>
      <c r="G340" s="19" t="n"/>
      <c r="H340" s="19" t="n"/>
    </row>
    <row r="341">
      <c r="A341" s="18" t="n"/>
      <c r="B341" s="19" t="n"/>
      <c r="C341" s="19" t="n"/>
      <c r="D341" s="19" t="n"/>
      <c r="E341" s="19" t="n"/>
      <c r="F341" s="19" t="n"/>
      <c r="G341" s="19" t="n"/>
      <c r="H341" s="19" t="n"/>
    </row>
    <row r="342">
      <c r="A342" s="18" t="n"/>
      <c r="B342" s="19" t="n"/>
      <c r="C342" s="19" t="n"/>
      <c r="D342" s="19" t="n"/>
      <c r="E342" s="19" t="n"/>
      <c r="F342" s="19" t="n"/>
      <c r="G342" s="19" t="n"/>
      <c r="H342" s="19" t="n"/>
    </row>
    <row r="343">
      <c r="A343" s="18" t="n"/>
      <c r="B343" s="19" t="n"/>
      <c r="C343" s="19" t="n"/>
      <c r="D343" s="19" t="n"/>
      <c r="E343" s="19" t="n"/>
      <c r="F343" s="19" t="n"/>
      <c r="G343" s="19" t="n"/>
      <c r="H343" s="19" t="n"/>
    </row>
    <row r="344">
      <c r="A344" s="18" t="n"/>
      <c r="B344" s="19" t="n"/>
      <c r="C344" s="19" t="n"/>
      <c r="D344" s="19" t="n"/>
      <c r="E344" s="19" t="n"/>
      <c r="F344" s="19" t="n"/>
      <c r="G344" s="19" t="n"/>
      <c r="H344" s="19" t="n"/>
    </row>
    <row r="345">
      <c r="A345" s="18" t="n"/>
      <c r="B345" s="19" t="n"/>
      <c r="C345" s="19" t="n"/>
      <c r="D345" s="19" t="n"/>
      <c r="E345" s="19" t="n"/>
      <c r="F345" s="19" t="n"/>
      <c r="G345" s="19" t="n"/>
      <c r="H345" s="19" t="n"/>
    </row>
    <row r="346">
      <c r="A346" s="18" t="n"/>
      <c r="B346" s="19" t="n"/>
      <c r="C346" s="19" t="n"/>
      <c r="D346" s="19" t="n"/>
      <c r="E346" s="19" t="n"/>
      <c r="F346" s="19" t="n"/>
      <c r="G346" s="19" t="n"/>
      <c r="H346" s="19" t="n"/>
    </row>
    <row r="347">
      <c r="A347" s="18" t="n"/>
      <c r="B347" s="19" t="n"/>
      <c r="C347" s="19" t="n"/>
      <c r="D347" s="19" t="n"/>
      <c r="E347" s="19" t="n"/>
      <c r="F347" s="19" t="n"/>
      <c r="G347" s="19" t="n"/>
      <c r="H347" s="19" t="n"/>
    </row>
    <row r="348">
      <c r="A348" s="18" t="n"/>
      <c r="B348" s="19" t="n"/>
      <c r="C348" s="19" t="n"/>
      <c r="D348" s="19" t="n"/>
      <c r="E348" s="19" t="n"/>
      <c r="F348" s="19" t="n"/>
      <c r="G348" s="19" t="n"/>
      <c r="H348" s="19" t="n"/>
    </row>
    <row r="349">
      <c r="A349" s="18" t="n"/>
      <c r="B349" s="19" t="n"/>
      <c r="C349" s="19" t="n"/>
      <c r="D349" s="19" t="n"/>
      <c r="E349" s="19" t="n"/>
      <c r="F349" s="19" t="n"/>
      <c r="G349" s="19" t="n"/>
      <c r="H349" s="19" t="n"/>
    </row>
    <row r="350">
      <c r="A350" s="18" t="n"/>
      <c r="B350" s="19" t="n"/>
      <c r="C350" s="19" t="n"/>
      <c r="D350" s="19" t="n"/>
      <c r="E350" s="19" t="n"/>
      <c r="F350" s="19" t="n"/>
      <c r="G350" s="19" t="n"/>
      <c r="H350" s="19" t="n"/>
    </row>
    <row r="351">
      <c r="A351" s="18" t="n"/>
      <c r="B351" s="19" t="n"/>
      <c r="C351" s="19" t="n"/>
      <c r="D351" s="19" t="n"/>
      <c r="E351" s="19" t="n"/>
      <c r="F351" s="19" t="n"/>
      <c r="G351" s="19" t="n"/>
      <c r="H351" s="19" t="n"/>
    </row>
    <row r="352">
      <c r="A352" s="18" t="n"/>
      <c r="B352" s="19" t="n"/>
      <c r="C352" s="19" t="n"/>
      <c r="D352" s="19" t="n"/>
      <c r="E352" s="19" t="n"/>
      <c r="F352" s="19" t="n"/>
      <c r="G352" s="19" t="n"/>
      <c r="H352" s="19" t="n"/>
    </row>
    <row r="353">
      <c r="A353" s="18" t="n"/>
      <c r="B353" s="19" t="n"/>
      <c r="C353" s="19" t="n"/>
      <c r="D353" s="19" t="n"/>
      <c r="E353" s="19" t="n"/>
      <c r="F353" s="19" t="n"/>
      <c r="G353" s="19" t="n"/>
      <c r="H353" s="19" t="n"/>
    </row>
    <row r="354">
      <c r="A354" s="18" t="n"/>
      <c r="B354" s="19" t="n"/>
      <c r="C354" s="19" t="n"/>
      <c r="D354" s="19" t="n"/>
      <c r="E354" s="19" t="n"/>
      <c r="F354" s="19" t="n"/>
      <c r="G354" s="19" t="n"/>
      <c r="H354" s="19" t="n"/>
    </row>
    <row r="355">
      <c r="A355" s="18" t="n"/>
      <c r="B355" s="19" t="n"/>
      <c r="C355" s="19" t="n"/>
      <c r="D355" s="19" t="n"/>
      <c r="E355" s="19" t="n"/>
      <c r="F355" s="19" t="n"/>
      <c r="G355" s="19" t="n"/>
      <c r="H355" s="19" t="n"/>
    </row>
    <row r="356">
      <c r="A356" s="18" t="n"/>
      <c r="B356" s="19" t="n"/>
      <c r="C356" s="19" t="n"/>
      <c r="D356" s="19" t="n"/>
      <c r="E356" s="19" t="n"/>
      <c r="F356" s="19" t="n"/>
      <c r="G356" s="19" t="n"/>
      <c r="H356" s="19" t="n"/>
    </row>
    <row r="357">
      <c r="A357" s="18" t="n"/>
      <c r="B357" s="19" t="n"/>
      <c r="C357" s="19" t="n"/>
      <c r="D357" s="19" t="n"/>
      <c r="E357" s="19" t="n"/>
      <c r="F357" s="19" t="n"/>
      <c r="G357" s="19" t="n"/>
      <c r="H357" s="19" t="n"/>
    </row>
    <row r="358">
      <c r="A358" s="18" t="n"/>
      <c r="B358" s="19" t="n"/>
      <c r="C358" s="19" t="n"/>
      <c r="D358" s="19" t="n"/>
      <c r="E358" s="19" t="n"/>
      <c r="F358" s="19" t="n"/>
      <c r="G358" s="19" t="n"/>
      <c r="H358" s="19" t="n"/>
    </row>
    <row r="359">
      <c r="A359" s="18" t="n"/>
      <c r="B359" s="19" t="n"/>
      <c r="C359" s="19" t="n"/>
      <c r="D359" s="19" t="n"/>
      <c r="E359" s="19" t="n"/>
      <c r="F359" s="19" t="n"/>
      <c r="G359" s="19" t="n"/>
      <c r="H359" s="19" t="n"/>
    </row>
    <row r="360">
      <c r="A360" s="18" t="n"/>
      <c r="B360" s="19" t="n"/>
      <c r="C360" s="19" t="n"/>
      <c r="D360" s="19" t="n"/>
      <c r="E360" s="19" t="n"/>
      <c r="F360" s="19" t="n"/>
      <c r="G360" s="19" t="n"/>
      <c r="H360" s="19" t="n"/>
    </row>
    <row r="361">
      <c r="A361" s="18" t="n"/>
      <c r="B361" s="19" t="n"/>
      <c r="C361" s="19" t="n"/>
      <c r="D361" s="19" t="n"/>
      <c r="E361" s="19" t="n"/>
      <c r="F361" s="19" t="n"/>
      <c r="G361" s="19" t="n"/>
      <c r="H361" s="19" t="n"/>
    </row>
    <row r="362">
      <c r="A362" s="18" t="n"/>
      <c r="B362" s="19" t="n"/>
      <c r="C362" s="19" t="n"/>
      <c r="D362" s="19" t="n"/>
      <c r="E362" s="19" t="n"/>
      <c r="F362" s="19" t="n"/>
      <c r="G362" s="19" t="n"/>
      <c r="H362" s="19" t="n"/>
    </row>
    <row r="363">
      <c r="A363" s="18" t="n"/>
      <c r="B363" s="19" t="n"/>
      <c r="C363" s="19" t="n"/>
      <c r="D363" s="19" t="n"/>
      <c r="E363" s="19" t="n"/>
      <c r="F363" s="19" t="n"/>
      <c r="G363" s="19" t="n"/>
      <c r="H363" s="19" t="n"/>
    </row>
    <row r="364">
      <c r="A364" s="18" t="n"/>
      <c r="B364" s="19" t="n"/>
      <c r="C364" s="19" t="n"/>
      <c r="D364" s="19" t="n"/>
      <c r="E364" s="19" t="n"/>
      <c r="F364" s="19" t="n"/>
      <c r="G364" s="19" t="n"/>
      <c r="H364" s="19" t="n"/>
    </row>
    <row r="365">
      <c r="A365" s="18" t="n"/>
      <c r="B365" s="19" t="n"/>
      <c r="C365" s="19" t="n"/>
      <c r="D365" s="19" t="n"/>
      <c r="E365" s="19" t="n"/>
      <c r="F365" s="19" t="n"/>
      <c r="G365" s="19" t="n"/>
      <c r="H365" s="19" t="n"/>
    </row>
    <row r="366">
      <c r="A366" s="18" t="n"/>
      <c r="B366" s="19" t="n"/>
      <c r="C366" s="19" t="n"/>
      <c r="D366" s="19" t="n"/>
      <c r="E366" s="19" t="n"/>
      <c r="F366" s="19" t="n"/>
      <c r="G366" s="19" t="n"/>
      <c r="H366" s="19" t="n"/>
    </row>
    <row r="367">
      <c r="A367" s="18" t="n"/>
      <c r="B367" s="19" t="n"/>
      <c r="C367" s="19" t="n"/>
      <c r="D367" s="19" t="n"/>
      <c r="E367" s="19" t="n"/>
      <c r="F367" s="19" t="n"/>
      <c r="G367" s="19" t="n"/>
      <c r="H367" s="19" t="n"/>
    </row>
    <row r="368">
      <c r="A368" s="18" t="n"/>
      <c r="B368" s="19" t="n"/>
      <c r="C368" s="19" t="n"/>
      <c r="D368" s="19" t="n"/>
      <c r="E368" s="19" t="n"/>
      <c r="F368" s="19" t="n"/>
      <c r="G368" s="19" t="n"/>
      <c r="H368" s="19" t="n"/>
    </row>
    <row r="369">
      <c r="A369" s="18" t="n"/>
      <c r="B369" s="19" t="n"/>
      <c r="C369" s="19" t="n"/>
      <c r="D369" s="19" t="n"/>
      <c r="E369" s="19" t="n"/>
      <c r="F369" s="19" t="n"/>
      <c r="G369" s="19" t="n"/>
      <c r="H369" s="19" t="n"/>
    </row>
    <row r="370">
      <c r="A370" s="18" t="n"/>
      <c r="B370" s="19" t="n"/>
      <c r="C370" s="19" t="n"/>
      <c r="D370" s="19" t="n"/>
      <c r="E370" s="19" t="n"/>
      <c r="F370" s="19" t="n"/>
      <c r="G370" s="19" t="n"/>
      <c r="H370" s="19" t="n"/>
    </row>
    <row r="371">
      <c r="A371" s="18" t="n"/>
      <c r="B371" s="19" t="n"/>
      <c r="C371" s="19" t="n"/>
      <c r="D371" s="19" t="n"/>
      <c r="E371" s="19" t="n"/>
      <c r="F371" s="19" t="n"/>
      <c r="G371" s="19" t="n"/>
      <c r="H371" s="19" t="n"/>
    </row>
    <row r="372">
      <c r="A372" s="18" t="n"/>
      <c r="B372" s="19" t="n"/>
      <c r="C372" s="19" t="n"/>
      <c r="D372" s="19" t="n"/>
      <c r="E372" s="19" t="n"/>
      <c r="F372" s="19" t="n"/>
      <c r="G372" s="19" t="n"/>
      <c r="H372" s="19" t="n"/>
    </row>
    <row r="373">
      <c r="A373" s="18" t="n"/>
      <c r="B373" s="19" t="n"/>
      <c r="C373" s="19" t="n"/>
      <c r="D373" s="19" t="n"/>
      <c r="E373" s="19" t="n"/>
      <c r="F373" s="19" t="n"/>
      <c r="G373" s="19" t="n"/>
      <c r="H373" s="19" t="n"/>
    </row>
    <row r="374">
      <c r="A374" s="18" t="n"/>
      <c r="B374" s="19" t="n"/>
      <c r="C374" s="19" t="n"/>
      <c r="D374" s="19" t="n"/>
      <c r="E374" s="19" t="n"/>
      <c r="F374" s="19" t="n"/>
      <c r="G374" s="19" t="n"/>
      <c r="H374" s="19" t="n"/>
    </row>
    <row r="375">
      <c r="A375" s="18" t="n"/>
      <c r="B375" s="19" t="n"/>
      <c r="C375" s="19" t="n"/>
      <c r="D375" s="19" t="n"/>
      <c r="E375" s="19" t="n"/>
      <c r="F375" s="19" t="n"/>
      <c r="G375" s="19" t="n"/>
      <c r="H375" s="19" t="n"/>
    </row>
    <row r="376">
      <c r="A376" s="18" t="n"/>
      <c r="B376" s="19" t="n"/>
      <c r="C376" s="19" t="n"/>
      <c r="D376" s="19" t="n"/>
      <c r="E376" s="19" t="n"/>
      <c r="F376" s="19" t="n"/>
      <c r="G376" s="19" t="n"/>
      <c r="H376" s="19" t="n"/>
    </row>
    <row r="377">
      <c r="A377" s="18" t="n"/>
      <c r="B377" s="19" t="n"/>
      <c r="C377" s="19" t="n"/>
      <c r="D377" s="19" t="n"/>
      <c r="E377" s="19" t="n"/>
      <c r="F377" s="19" t="n"/>
      <c r="G377" s="19" t="n"/>
      <c r="H377" s="19" t="n"/>
    </row>
    <row r="378">
      <c r="A378" s="18" t="n"/>
      <c r="B378" s="19" t="n"/>
      <c r="C378" s="19" t="n"/>
      <c r="D378" s="19" t="n"/>
      <c r="E378" s="19" t="n"/>
      <c r="F378" s="19" t="n"/>
      <c r="G378" s="19" t="n"/>
      <c r="H378" s="19" t="n"/>
    </row>
    <row r="379">
      <c r="A379" s="18" t="n"/>
      <c r="B379" s="19" t="n"/>
      <c r="C379" s="19" t="n"/>
      <c r="D379" s="19" t="n"/>
      <c r="E379" s="19" t="n"/>
      <c r="F379" s="19" t="n"/>
      <c r="G379" s="19" t="n"/>
      <c r="H379" s="19" t="n"/>
    </row>
    <row r="380">
      <c r="A380" s="18" t="n"/>
      <c r="B380" s="19" t="n"/>
      <c r="C380" s="19" t="n"/>
      <c r="D380" s="19" t="n"/>
      <c r="E380" s="19" t="n"/>
      <c r="F380" s="19" t="n"/>
      <c r="G380" s="19" t="n"/>
      <c r="H380" s="19" t="n"/>
    </row>
    <row r="381">
      <c r="A381" s="18" t="n"/>
      <c r="B381" s="19" t="n"/>
      <c r="C381" s="19" t="n"/>
      <c r="D381" s="19" t="n"/>
      <c r="E381" s="19" t="n"/>
      <c r="F381" s="19" t="n"/>
      <c r="G381" s="19" t="n"/>
      <c r="H381" s="19" t="n"/>
    </row>
    <row r="382">
      <c r="A382" s="18" t="n"/>
      <c r="B382" s="19" t="n"/>
      <c r="C382" s="19" t="n"/>
      <c r="D382" s="19" t="n"/>
      <c r="E382" s="19" t="n"/>
      <c r="F382" s="19" t="n"/>
      <c r="G382" s="19" t="n"/>
      <c r="H382" s="19" t="n"/>
    </row>
    <row r="383">
      <c r="A383" s="18" t="n"/>
      <c r="B383" s="19" t="n"/>
      <c r="C383" s="19" t="n"/>
      <c r="D383" s="19" t="n"/>
      <c r="E383" s="19" t="n"/>
      <c r="F383" s="19" t="n"/>
      <c r="G383" s="19" t="n"/>
      <c r="H383" s="19" t="n"/>
    </row>
    <row r="384">
      <c r="A384" s="18" t="n"/>
      <c r="B384" s="19" t="n"/>
      <c r="C384" s="19" t="n"/>
      <c r="D384" s="19" t="n"/>
      <c r="E384" s="19" t="n"/>
      <c r="F384" s="19" t="n"/>
      <c r="G384" s="19" t="n"/>
      <c r="H384" s="19" t="n"/>
    </row>
    <row r="385">
      <c r="A385" s="18" t="n"/>
      <c r="B385" s="19" t="n"/>
      <c r="C385" s="19" t="n"/>
      <c r="D385" s="19" t="n"/>
      <c r="E385" s="19" t="n"/>
      <c r="F385" s="19" t="n"/>
      <c r="G385" s="19" t="n"/>
      <c r="H385" s="19" t="n"/>
    </row>
    <row r="386">
      <c r="A386" s="18" t="n"/>
      <c r="B386" s="19" t="n"/>
      <c r="C386" s="19" t="n"/>
      <c r="D386" s="19" t="n"/>
      <c r="E386" s="19" t="n"/>
      <c r="F386" s="19" t="n"/>
      <c r="G386" s="19" t="n"/>
      <c r="H386" s="19" t="n"/>
    </row>
    <row r="387">
      <c r="A387" s="18" t="n"/>
      <c r="B387" s="19" t="n"/>
      <c r="C387" s="19" t="n"/>
      <c r="D387" s="19" t="n"/>
      <c r="E387" s="19" t="n"/>
      <c r="F387" s="19" t="n"/>
      <c r="G387" s="19" t="n"/>
      <c r="H387" s="19" t="n"/>
    </row>
    <row r="388">
      <c r="A388" s="18" t="n"/>
      <c r="B388" s="19" t="n"/>
      <c r="C388" s="19" t="n"/>
      <c r="D388" s="19" t="n"/>
      <c r="E388" s="19" t="n"/>
      <c r="F388" s="19" t="n"/>
      <c r="G388" s="19" t="n"/>
      <c r="H388" s="19" t="n"/>
    </row>
    <row r="389">
      <c r="A389" s="18" t="n"/>
      <c r="B389" s="19" t="n"/>
      <c r="C389" s="19" t="n"/>
      <c r="D389" s="19" t="n"/>
      <c r="E389" s="19" t="n"/>
      <c r="F389" s="19" t="n"/>
      <c r="G389" s="19" t="n"/>
      <c r="H389" s="19" t="n"/>
    </row>
    <row r="390">
      <c r="A390" s="18" t="n"/>
      <c r="B390" s="19" t="n"/>
      <c r="C390" s="19" t="n"/>
      <c r="D390" s="19" t="n"/>
      <c r="E390" s="19" t="n"/>
      <c r="F390" s="19" t="n"/>
      <c r="G390" s="19" t="n"/>
      <c r="H390" s="19" t="n"/>
    </row>
    <row r="391">
      <c r="A391" s="18" t="n"/>
      <c r="B391" s="19" t="n"/>
      <c r="C391" s="19" t="n"/>
      <c r="D391" s="19" t="n"/>
      <c r="E391" s="19" t="n"/>
      <c r="F391" s="19" t="n"/>
      <c r="G391" s="19" t="n"/>
      <c r="H391" s="19" t="n"/>
    </row>
    <row r="392">
      <c r="A392" s="18" t="n"/>
      <c r="B392" s="19" t="n"/>
      <c r="C392" s="19" t="n"/>
      <c r="D392" s="19" t="n"/>
      <c r="E392" s="19" t="n"/>
      <c r="F392" s="19" t="n"/>
      <c r="G392" s="19" t="n"/>
      <c r="H392" s="19" t="n"/>
    </row>
    <row r="393">
      <c r="A393" s="18" t="n"/>
      <c r="B393" s="19" t="n"/>
      <c r="C393" s="19" t="n"/>
      <c r="D393" s="19" t="n"/>
      <c r="E393" s="19" t="n"/>
      <c r="F393" s="19" t="n"/>
      <c r="G393" s="19" t="n"/>
      <c r="H393" s="19" t="n"/>
    </row>
    <row r="394">
      <c r="A394" s="18" t="n"/>
      <c r="B394" s="19" t="n"/>
      <c r="C394" s="19" t="n"/>
      <c r="D394" s="19" t="n"/>
      <c r="E394" s="19" t="n"/>
      <c r="F394" s="19" t="n"/>
      <c r="G394" s="19" t="n"/>
      <c r="H394" s="19" t="n"/>
    </row>
    <row r="395">
      <c r="A395" s="18" t="n"/>
      <c r="B395" s="19" t="n"/>
      <c r="C395" s="19" t="n"/>
      <c r="D395" s="19" t="n"/>
      <c r="E395" s="19" t="n"/>
      <c r="F395" s="19" t="n"/>
      <c r="G395" s="19" t="n"/>
      <c r="H395" s="19" t="n"/>
    </row>
    <row r="396">
      <c r="A396" s="18" t="n"/>
      <c r="B396" s="19" t="n"/>
      <c r="C396" s="19" t="n"/>
      <c r="D396" s="19" t="n"/>
      <c r="E396" s="19" t="n"/>
      <c r="F396" s="19" t="n"/>
      <c r="G396" s="19" t="n"/>
      <c r="H396" s="19" t="n"/>
    </row>
    <row r="397">
      <c r="A397" s="18" t="n"/>
      <c r="B397" s="19" t="n"/>
      <c r="C397" s="19" t="n"/>
      <c r="D397" s="19" t="n"/>
      <c r="E397" s="19" t="n"/>
      <c r="F397" s="19" t="n"/>
      <c r="G397" s="19" t="n"/>
      <c r="H397" s="19" t="n"/>
    </row>
    <row r="398">
      <c r="A398" s="18" t="n"/>
      <c r="B398" s="19" t="n"/>
      <c r="C398" s="19" t="n"/>
      <c r="D398" s="19" t="n"/>
      <c r="E398" s="19" t="n"/>
      <c r="F398" s="19" t="n"/>
      <c r="G398" s="19" t="n"/>
      <c r="H398" s="19" t="n"/>
    </row>
    <row r="399">
      <c r="A399" s="18" t="n"/>
      <c r="B399" s="19" t="n"/>
      <c r="C399" s="19" t="n"/>
      <c r="D399" s="19" t="n"/>
      <c r="E399" s="19" t="n"/>
      <c r="F399" s="19" t="n"/>
      <c r="G399" s="19" t="n"/>
      <c r="H399" s="19" t="n"/>
    </row>
    <row r="400">
      <c r="A400" s="18" t="n"/>
      <c r="B400" s="19" t="n"/>
      <c r="C400" s="19" t="n"/>
      <c r="D400" s="19" t="n"/>
      <c r="E400" s="19" t="n"/>
      <c r="F400" s="19" t="n"/>
      <c r="G400" s="19" t="n"/>
      <c r="H400" s="19" t="n"/>
    </row>
  </sheetData>
  <conditionalFormatting sqref="B2:B400">
    <cfRule type="cellIs" priority="1" operator="equal" dxfId="0">
      <formula>"Feito"</formula>
    </cfRule>
    <cfRule type="cellIs" priority="2" operator="equal" dxfId="1">
      <formula>"Pendente"</formula>
    </cfRule>
    <cfRule type="cellIs" priority="3" operator="equal" dxfId="2">
      <formula>"N/A"</formula>
    </cfRule>
  </conditionalFormatting>
  <conditionalFormatting sqref="C2:C400">
    <cfRule type="cellIs" priority="4" operator="equal" dxfId="0">
      <formula>"Feito"</formula>
    </cfRule>
    <cfRule type="cellIs" priority="5" operator="equal" dxfId="1">
      <formula>"Pendente"</formula>
    </cfRule>
    <cfRule type="cellIs" priority="6" operator="equal" dxfId="2">
      <formula>"N/A"</formula>
    </cfRule>
  </conditionalFormatting>
  <conditionalFormatting sqref="D2:D400">
    <cfRule type="cellIs" priority="7" operator="equal" dxfId="0">
      <formula>"Feito"</formula>
    </cfRule>
    <cfRule type="cellIs" priority="8" operator="equal" dxfId="1">
      <formula>"Pendente"</formula>
    </cfRule>
    <cfRule type="cellIs" priority="9" operator="equal" dxfId="2">
      <formula>"N/A"</formula>
    </cfRule>
  </conditionalFormatting>
  <conditionalFormatting sqref="E2:E400">
    <cfRule type="cellIs" priority="10" operator="equal" dxfId="0">
      <formula>"Feito"</formula>
    </cfRule>
    <cfRule type="cellIs" priority="11" operator="equal" dxfId="1">
      <formula>"Pendente"</formula>
    </cfRule>
    <cfRule type="cellIs" priority="12" operator="equal" dxfId="2">
      <formula>"N/A"</formula>
    </cfRule>
  </conditionalFormatting>
  <conditionalFormatting sqref="F2:F400">
    <cfRule type="cellIs" priority="13" operator="equal" dxfId="0">
      <formula>"Feito"</formula>
    </cfRule>
    <cfRule type="cellIs" priority="14" operator="equal" dxfId="1">
      <formula>"Pendente"</formula>
    </cfRule>
    <cfRule type="cellIs" priority="15" operator="equal" dxfId="2">
      <formula>"N/A"</formula>
    </cfRule>
  </conditionalFormatting>
  <conditionalFormatting sqref="G2:G400">
    <cfRule type="cellIs" priority="16" operator="equal" dxfId="0">
      <formula>"Feito"</formula>
    </cfRule>
    <cfRule type="cellIs" priority="17" operator="equal" dxfId="1">
      <formula>"Pendente"</formula>
    </cfRule>
    <cfRule type="cellIs" priority="18" operator="equal" dxfId="2">
      <formula>"N/A"</formula>
    </cfRule>
  </conditionalFormatting>
  <dataValidations count="1">
    <dataValidation sqref="B2:G400" showDropDown="0" showInputMessage="0" showErrorMessage="0" allowBlank="1" type="list">
      <formula1>"Feito,Pendente,N/A"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24" customWidth="1" min="3" max="3"/>
    <col width="22" customWidth="1" min="4" max="4"/>
    <col width="14" customWidth="1" min="5" max="5"/>
    <col width="14" customWidth="1" min="6" max="6"/>
    <col width="20" customWidth="1" min="7" max="7"/>
    <col width="18" customWidth="1" min="8" max="8"/>
    <col width="26" customWidth="1" min="9" max="9"/>
  </cols>
  <sheetData>
    <row r="1">
      <c r="A1" s="15" t="inlineStr">
        <is>
          <t>Data</t>
        </is>
      </c>
      <c r="B1" s="15" t="inlineStr">
        <is>
          <t>Hora</t>
        </is>
      </c>
      <c r="C1" s="15" t="inlineStr">
        <is>
          <t>Campanha</t>
        </is>
      </c>
      <c r="D1" s="15" t="inlineStr">
        <is>
          <t>Produto/Oferta</t>
        </is>
      </c>
      <c r="E1" s="15" t="inlineStr">
        <is>
          <t>Plataforma</t>
        </is>
      </c>
      <c r="F1" s="15" t="inlineStr">
        <is>
          <t>Comissão (US$)</t>
        </is>
      </c>
      <c r="G1" s="15" t="inlineStr">
        <is>
          <t>Status</t>
        </is>
      </c>
      <c r="H1" s="15" t="inlineStr">
        <is>
          <t>Data Prevista de Pagamento</t>
        </is>
      </c>
      <c r="I1" s="15" t="inlineStr">
        <is>
          <t>Observações</t>
        </is>
      </c>
    </row>
    <row r="2">
      <c r="A2" s="20" t="inlineStr">
        <is>
          <t>2026-09-01</t>
        </is>
      </c>
      <c r="B2" s="21" t="inlineStr">
        <is>
          <t>09:12</t>
        </is>
      </c>
      <c r="C2" s="22" t="inlineStr">
        <is>
          <t>Oferta Dólar - Pesquisa</t>
        </is>
      </c>
      <c r="D2" s="22" t="inlineStr">
        <is>
          <t>Programa X - Upsell</t>
        </is>
      </c>
      <c r="E2" s="22" t="inlineStr">
        <is>
          <t>MaxWeb</t>
        </is>
      </c>
      <c r="F2" s="23" t="n">
        <v>38</v>
      </c>
      <c r="G2" s="22" t="inlineStr">
        <is>
          <t>Aprovada</t>
        </is>
      </c>
      <c r="H2" s="20" t="inlineStr">
        <is>
          <t>2026-09-16</t>
        </is>
      </c>
      <c r="I2" s="22" t="inlineStr"/>
    </row>
    <row r="3">
      <c r="A3" s="20" t="inlineStr">
        <is>
          <t>2026-09-02</t>
        </is>
      </c>
      <c r="B3" s="21" t="inlineStr">
        <is>
          <t>14:30</t>
        </is>
      </c>
      <c r="C3" s="22" t="inlineStr">
        <is>
          <t>Oferta Dólar - PMax</t>
        </is>
      </c>
      <c r="D3" s="22" t="inlineStr">
        <is>
          <t>Programa X - Front</t>
        </is>
      </c>
      <c r="E3" s="22" t="inlineStr">
        <is>
          <t>MaxWeb</t>
        </is>
      </c>
      <c r="F3" s="23" t="n">
        <v>19.5</v>
      </c>
      <c r="G3" s="22" t="inlineStr">
        <is>
          <t>Pendente</t>
        </is>
      </c>
      <c r="H3" s="20" t="inlineStr">
        <is>
          <t>2026-09-17</t>
        </is>
      </c>
      <c r="I3" s="22" t="inlineStr">
        <is>
          <t>Aguardando janela de garantia</t>
        </is>
      </c>
    </row>
    <row r="4">
      <c r="A4" s="20" t="inlineStr">
        <is>
          <t>2026-09-03</t>
        </is>
      </c>
      <c r="B4" s="21" t="inlineStr">
        <is>
          <t>20:05</t>
        </is>
      </c>
      <c r="C4" s="22" t="inlineStr">
        <is>
          <t>Oferta Dólar - Pesquisa</t>
        </is>
      </c>
      <c r="D4" s="22" t="inlineStr">
        <is>
          <t>Programa Y - Front</t>
        </is>
      </c>
      <c r="E4" s="22" t="inlineStr">
        <is>
          <t>Digistore24</t>
        </is>
      </c>
      <c r="F4" s="23" t="n">
        <v>27</v>
      </c>
      <c r="G4" s="22" t="inlineStr">
        <is>
          <t>Aprovada</t>
        </is>
      </c>
      <c r="H4" s="20" t="inlineStr">
        <is>
          <t>2026-09-18</t>
        </is>
      </c>
      <c r="I4" s="22" t="inlineStr"/>
    </row>
    <row r="5">
      <c r="A5" s="20" t="inlineStr">
        <is>
          <t>2026-09-04</t>
        </is>
      </c>
      <c r="B5" s="21" t="inlineStr">
        <is>
          <t>11:40</t>
        </is>
      </c>
      <c r="C5" s="22" t="inlineStr">
        <is>
          <t>Oferta Dólar - PMax</t>
        </is>
      </c>
      <c r="D5" s="22" t="inlineStr">
        <is>
          <t>Programa X - Front</t>
        </is>
      </c>
      <c r="E5" s="22" t="inlineStr">
        <is>
          <t>MaxWeb</t>
        </is>
      </c>
      <c r="F5" s="23" t="n">
        <v>19.5</v>
      </c>
      <c r="G5" s="22" t="inlineStr">
        <is>
          <t>Cancelada/Reembolsada</t>
        </is>
      </c>
      <c r="H5" s="22" t="inlineStr">
        <is>
          <t>-</t>
        </is>
      </c>
      <c r="I5" s="22" t="inlineStr">
        <is>
          <t>Chargeback</t>
        </is>
      </c>
    </row>
    <row r="6">
      <c r="A6" s="20" t="inlineStr">
        <is>
          <t>2026-09-05</t>
        </is>
      </c>
      <c r="B6" s="21" t="inlineStr">
        <is>
          <t>16:55</t>
        </is>
      </c>
      <c r="C6" s="22" t="inlineStr">
        <is>
          <t>Oferta Dólar - Vídeo</t>
        </is>
      </c>
      <c r="D6" s="22" t="inlineStr">
        <is>
          <t>Programa Z - Front</t>
        </is>
      </c>
      <c r="E6" s="22" t="inlineStr">
        <is>
          <t>ClickBank</t>
        </is>
      </c>
      <c r="F6" s="23" t="n">
        <v>45</v>
      </c>
      <c r="G6" s="22" t="inlineStr">
        <is>
          <t>Aprovada</t>
        </is>
      </c>
      <c r="H6" s="20" t="inlineStr">
        <is>
          <t>2026-09-20</t>
        </is>
      </c>
      <c r="I6" s="22" t="inlineStr"/>
    </row>
    <row r="7">
      <c r="A7" s="24" t="n"/>
      <c r="B7" s="25" t="n"/>
      <c r="C7" s="26" t="n"/>
      <c r="D7" s="26" t="n"/>
      <c r="E7" s="26" t="n"/>
      <c r="F7" s="27" t="n"/>
      <c r="G7" s="26" t="n"/>
      <c r="H7" s="24" t="n"/>
      <c r="I7" s="26" t="n"/>
    </row>
    <row r="8">
      <c r="A8" s="24" t="n"/>
      <c r="B8" s="25" t="n"/>
      <c r="C8" s="26" t="n"/>
      <c r="D8" s="26" t="n"/>
      <c r="E8" s="26" t="n"/>
      <c r="F8" s="27" t="n"/>
      <c r="G8" s="26" t="n"/>
      <c r="H8" s="24" t="n"/>
      <c r="I8" s="26" t="n"/>
    </row>
    <row r="9">
      <c r="A9" s="24" t="n"/>
      <c r="B9" s="25" t="n"/>
      <c r="C9" s="26" t="n"/>
      <c r="D9" s="26" t="n"/>
      <c r="E9" s="26" t="n"/>
      <c r="F9" s="27" t="n"/>
      <c r="G9" s="26" t="n"/>
      <c r="H9" s="24" t="n"/>
      <c r="I9" s="26" t="n"/>
    </row>
    <row r="10">
      <c r="A10" s="24" t="n"/>
      <c r="B10" s="25" t="n"/>
      <c r="C10" s="26" t="n"/>
      <c r="D10" s="26" t="n"/>
      <c r="E10" s="26" t="n"/>
      <c r="F10" s="27" t="n"/>
      <c r="G10" s="26" t="n"/>
      <c r="H10" s="24" t="n"/>
      <c r="I10" s="26" t="n"/>
    </row>
    <row r="11">
      <c r="A11" s="24" t="n"/>
      <c r="B11" s="25" t="n"/>
      <c r="C11" s="26" t="n"/>
      <c r="D11" s="26" t="n"/>
      <c r="E11" s="26" t="n"/>
      <c r="F11" s="27" t="n"/>
      <c r="G11" s="26" t="n"/>
      <c r="H11" s="24" t="n"/>
      <c r="I11" s="26" t="n"/>
    </row>
    <row r="12">
      <c r="A12" s="24" t="n"/>
      <c r="B12" s="25" t="n"/>
      <c r="C12" s="26" t="n"/>
      <c r="D12" s="26" t="n"/>
      <c r="E12" s="26" t="n"/>
      <c r="F12" s="27" t="n"/>
      <c r="G12" s="26" t="n"/>
      <c r="H12" s="24" t="n"/>
      <c r="I12" s="26" t="n"/>
    </row>
    <row r="13">
      <c r="A13" s="24" t="n"/>
      <c r="B13" s="25" t="n"/>
      <c r="C13" s="26" t="n"/>
      <c r="D13" s="26" t="n"/>
      <c r="E13" s="26" t="n"/>
      <c r="F13" s="27" t="n"/>
      <c r="G13" s="26" t="n"/>
      <c r="H13" s="24" t="n"/>
      <c r="I13" s="26" t="n"/>
    </row>
    <row r="14">
      <c r="A14" s="24" t="n"/>
      <c r="B14" s="25" t="n"/>
      <c r="C14" s="26" t="n"/>
      <c r="D14" s="26" t="n"/>
      <c r="E14" s="26" t="n"/>
      <c r="F14" s="27" t="n"/>
      <c r="G14" s="26" t="n"/>
      <c r="H14" s="24" t="n"/>
      <c r="I14" s="26" t="n"/>
    </row>
    <row r="15">
      <c r="A15" s="24" t="n"/>
      <c r="B15" s="25" t="n"/>
      <c r="C15" s="26" t="n"/>
      <c r="D15" s="26" t="n"/>
      <c r="E15" s="26" t="n"/>
      <c r="F15" s="27" t="n"/>
      <c r="G15" s="26" t="n"/>
      <c r="H15" s="24" t="n"/>
      <c r="I15" s="26" t="n"/>
    </row>
    <row r="16">
      <c r="A16" s="24" t="n"/>
      <c r="B16" s="25" t="n"/>
      <c r="C16" s="26" t="n"/>
      <c r="D16" s="26" t="n"/>
      <c r="E16" s="26" t="n"/>
      <c r="F16" s="27" t="n"/>
      <c r="G16" s="26" t="n"/>
      <c r="H16" s="24" t="n"/>
      <c r="I16" s="26" t="n"/>
    </row>
    <row r="17">
      <c r="A17" s="24" t="n"/>
      <c r="B17" s="25" t="n"/>
      <c r="C17" s="26" t="n"/>
      <c r="D17" s="26" t="n"/>
      <c r="E17" s="26" t="n"/>
      <c r="F17" s="27" t="n"/>
      <c r="G17" s="26" t="n"/>
      <c r="H17" s="24" t="n"/>
      <c r="I17" s="26" t="n"/>
    </row>
    <row r="18">
      <c r="A18" s="24" t="n"/>
      <c r="B18" s="25" t="n"/>
      <c r="C18" s="26" t="n"/>
      <c r="D18" s="26" t="n"/>
      <c r="E18" s="26" t="n"/>
      <c r="F18" s="27" t="n"/>
      <c r="G18" s="26" t="n"/>
      <c r="H18" s="24" t="n"/>
      <c r="I18" s="26" t="n"/>
    </row>
    <row r="19">
      <c r="A19" s="24" t="n"/>
      <c r="B19" s="25" t="n"/>
      <c r="C19" s="26" t="n"/>
      <c r="D19" s="26" t="n"/>
      <c r="E19" s="26" t="n"/>
      <c r="F19" s="27" t="n"/>
      <c r="G19" s="26" t="n"/>
      <c r="H19" s="24" t="n"/>
      <c r="I19" s="26" t="n"/>
    </row>
    <row r="20">
      <c r="A20" s="24" t="n"/>
      <c r="B20" s="25" t="n"/>
      <c r="C20" s="26" t="n"/>
      <c r="D20" s="26" t="n"/>
      <c r="E20" s="26" t="n"/>
      <c r="F20" s="27" t="n"/>
      <c r="G20" s="26" t="n"/>
      <c r="H20" s="24" t="n"/>
      <c r="I20" s="26" t="n"/>
    </row>
    <row r="21">
      <c r="A21" s="24" t="n"/>
      <c r="B21" s="25" t="n"/>
      <c r="C21" s="26" t="n"/>
      <c r="D21" s="26" t="n"/>
      <c r="E21" s="26" t="n"/>
      <c r="F21" s="27" t="n"/>
      <c r="G21" s="26" t="n"/>
      <c r="H21" s="24" t="n"/>
      <c r="I21" s="26" t="n"/>
    </row>
    <row r="22">
      <c r="A22" s="24" t="n"/>
      <c r="B22" s="25" t="n"/>
      <c r="C22" s="26" t="n"/>
      <c r="D22" s="26" t="n"/>
      <c r="E22" s="26" t="n"/>
      <c r="F22" s="27" t="n"/>
      <c r="G22" s="26" t="n"/>
      <c r="H22" s="24" t="n"/>
      <c r="I22" s="26" t="n"/>
    </row>
    <row r="23">
      <c r="A23" s="24" t="n"/>
      <c r="B23" s="25" t="n"/>
      <c r="C23" s="26" t="n"/>
      <c r="D23" s="26" t="n"/>
      <c r="E23" s="26" t="n"/>
      <c r="F23" s="27" t="n"/>
      <c r="G23" s="26" t="n"/>
      <c r="H23" s="24" t="n"/>
      <c r="I23" s="26" t="n"/>
    </row>
    <row r="24">
      <c r="A24" s="24" t="n"/>
      <c r="B24" s="25" t="n"/>
      <c r="C24" s="26" t="n"/>
      <c r="D24" s="26" t="n"/>
      <c r="E24" s="26" t="n"/>
      <c r="F24" s="27" t="n"/>
      <c r="G24" s="26" t="n"/>
      <c r="H24" s="24" t="n"/>
      <c r="I24" s="26" t="n"/>
    </row>
    <row r="25">
      <c r="A25" s="24" t="n"/>
      <c r="B25" s="25" t="n"/>
      <c r="C25" s="26" t="n"/>
      <c r="D25" s="26" t="n"/>
      <c r="E25" s="26" t="n"/>
      <c r="F25" s="27" t="n"/>
      <c r="G25" s="26" t="n"/>
      <c r="H25" s="24" t="n"/>
      <c r="I25" s="26" t="n"/>
    </row>
    <row r="26">
      <c r="A26" s="24" t="n"/>
      <c r="B26" s="25" t="n"/>
      <c r="C26" s="26" t="n"/>
      <c r="D26" s="26" t="n"/>
      <c r="E26" s="26" t="n"/>
      <c r="F26" s="27" t="n"/>
      <c r="G26" s="26" t="n"/>
      <c r="H26" s="24" t="n"/>
      <c r="I26" s="26" t="n"/>
    </row>
    <row r="27">
      <c r="A27" s="24" t="n"/>
      <c r="B27" s="25" t="n"/>
      <c r="C27" s="26" t="n"/>
      <c r="D27" s="26" t="n"/>
      <c r="E27" s="26" t="n"/>
      <c r="F27" s="27" t="n"/>
      <c r="G27" s="26" t="n"/>
      <c r="H27" s="24" t="n"/>
      <c r="I27" s="26" t="n"/>
    </row>
    <row r="28">
      <c r="A28" s="24" t="n"/>
      <c r="B28" s="25" t="n"/>
      <c r="C28" s="26" t="n"/>
      <c r="D28" s="26" t="n"/>
      <c r="E28" s="26" t="n"/>
      <c r="F28" s="27" t="n"/>
      <c r="G28" s="26" t="n"/>
      <c r="H28" s="24" t="n"/>
      <c r="I28" s="26" t="n"/>
    </row>
    <row r="29">
      <c r="A29" s="24" t="n"/>
      <c r="B29" s="25" t="n"/>
      <c r="C29" s="26" t="n"/>
      <c r="D29" s="26" t="n"/>
      <c r="E29" s="26" t="n"/>
      <c r="F29" s="27" t="n"/>
      <c r="G29" s="26" t="n"/>
      <c r="H29" s="24" t="n"/>
      <c r="I29" s="26" t="n"/>
    </row>
    <row r="30">
      <c r="A30" s="24" t="n"/>
      <c r="B30" s="25" t="n"/>
      <c r="C30" s="26" t="n"/>
      <c r="D30" s="26" t="n"/>
      <c r="E30" s="26" t="n"/>
      <c r="F30" s="27" t="n"/>
      <c r="G30" s="26" t="n"/>
      <c r="H30" s="24" t="n"/>
      <c r="I30" s="26" t="n"/>
    </row>
    <row r="31">
      <c r="A31" s="24" t="n"/>
      <c r="B31" s="25" t="n"/>
      <c r="C31" s="26" t="n"/>
      <c r="D31" s="26" t="n"/>
      <c r="E31" s="26" t="n"/>
      <c r="F31" s="27" t="n"/>
      <c r="G31" s="26" t="n"/>
      <c r="H31" s="24" t="n"/>
      <c r="I31" s="26" t="n"/>
    </row>
    <row r="32">
      <c r="A32" s="24" t="n"/>
      <c r="B32" s="25" t="n"/>
      <c r="C32" s="26" t="n"/>
      <c r="D32" s="26" t="n"/>
      <c r="E32" s="26" t="n"/>
      <c r="F32" s="27" t="n"/>
      <c r="G32" s="26" t="n"/>
      <c r="H32" s="24" t="n"/>
      <c r="I32" s="26" t="n"/>
    </row>
    <row r="33">
      <c r="A33" s="24" t="n"/>
      <c r="B33" s="25" t="n"/>
      <c r="C33" s="26" t="n"/>
      <c r="D33" s="26" t="n"/>
      <c r="E33" s="26" t="n"/>
      <c r="F33" s="27" t="n"/>
      <c r="G33" s="26" t="n"/>
      <c r="H33" s="24" t="n"/>
      <c r="I33" s="26" t="n"/>
    </row>
    <row r="34">
      <c r="A34" s="24" t="n"/>
      <c r="B34" s="25" t="n"/>
      <c r="C34" s="26" t="n"/>
      <c r="D34" s="26" t="n"/>
      <c r="E34" s="26" t="n"/>
      <c r="F34" s="27" t="n"/>
      <c r="G34" s="26" t="n"/>
      <c r="H34" s="24" t="n"/>
      <c r="I34" s="26" t="n"/>
    </row>
    <row r="35">
      <c r="A35" s="24" t="n"/>
      <c r="B35" s="25" t="n"/>
      <c r="C35" s="26" t="n"/>
      <c r="D35" s="26" t="n"/>
      <c r="E35" s="26" t="n"/>
      <c r="F35" s="27" t="n"/>
      <c r="G35" s="26" t="n"/>
      <c r="H35" s="24" t="n"/>
      <c r="I35" s="26" t="n"/>
    </row>
    <row r="36">
      <c r="A36" s="24" t="n"/>
      <c r="B36" s="25" t="n"/>
      <c r="C36" s="26" t="n"/>
      <c r="D36" s="26" t="n"/>
      <c r="E36" s="26" t="n"/>
      <c r="F36" s="27" t="n"/>
      <c r="G36" s="26" t="n"/>
      <c r="H36" s="24" t="n"/>
      <c r="I36" s="26" t="n"/>
    </row>
    <row r="37">
      <c r="A37" s="24" t="n"/>
      <c r="B37" s="25" t="n"/>
      <c r="C37" s="26" t="n"/>
      <c r="D37" s="26" t="n"/>
      <c r="E37" s="26" t="n"/>
      <c r="F37" s="27" t="n"/>
      <c r="G37" s="26" t="n"/>
      <c r="H37" s="24" t="n"/>
      <c r="I37" s="26" t="n"/>
    </row>
    <row r="38">
      <c r="A38" s="24" t="n"/>
      <c r="B38" s="25" t="n"/>
      <c r="C38" s="26" t="n"/>
      <c r="D38" s="26" t="n"/>
      <c r="E38" s="26" t="n"/>
      <c r="F38" s="27" t="n"/>
      <c r="G38" s="26" t="n"/>
      <c r="H38" s="24" t="n"/>
      <c r="I38" s="26" t="n"/>
    </row>
    <row r="39">
      <c r="A39" s="24" t="n"/>
      <c r="B39" s="25" t="n"/>
      <c r="C39" s="26" t="n"/>
      <c r="D39" s="26" t="n"/>
      <c r="E39" s="26" t="n"/>
      <c r="F39" s="27" t="n"/>
      <c r="G39" s="26" t="n"/>
      <c r="H39" s="24" t="n"/>
      <c r="I39" s="26" t="n"/>
    </row>
    <row r="40">
      <c r="A40" s="24" t="n"/>
      <c r="B40" s="25" t="n"/>
      <c r="C40" s="26" t="n"/>
      <c r="D40" s="26" t="n"/>
      <c r="E40" s="26" t="n"/>
      <c r="F40" s="27" t="n"/>
      <c r="G40" s="26" t="n"/>
      <c r="H40" s="24" t="n"/>
      <c r="I40" s="26" t="n"/>
    </row>
    <row r="41">
      <c r="A41" s="24" t="n"/>
      <c r="B41" s="25" t="n"/>
      <c r="C41" s="26" t="n"/>
      <c r="D41" s="26" t="n"/>
      <c r="E41" s="26" t="n"/>
      <c r="F41" s="27" t="n"/>
      <c r="G41" s="26" t="n"/>
      <c r="H41" s="24" t="n"/>
      <c r="I41" s="26" t="n"/>
    </row>
    <row r="42">
      <c r="A42" s="24" t="n"/>
      <c r="B42" s="25" t="n"/>
      <c r="C42" s="26" t="n"/>
      <c r="D42" s="26" t="n"/>
      <c r="E42" s="26" t="n"/>
      <c r="F42" s="27" t="n"/>
      <c r="G42" s="26" t="n"/>
      <c r="H42" s="24" t="n"/>
      <c r="I42" s="26" t="n"/>
    </row>
    <row r="43">
      <c r="A43" s="24" t="n"/>
      <c r="B43" s="25" t="n"/>
      <c r="C43" s="26" t="n"/>
      <c r="D43" s="26" t="n"/>
      <c r="E43" s="26" t="n"/>
      <c r="F43" s="27" t="n"/>
      <c r="G43" s="26" t="n"/>
      <c r="H43" s="24" t="n"/>
      <c r="I43" s="26" t="n"/>
    </row>
    <row r="44">
      <c r="A44" s="24" t="n"/>
      <c r="B44" s="25" t="n"/>
      <c r="C44" s="26" t="n"/>
      <c r="D44" s="26" t="n"/>
      <c r="E44" s="26" t="n"/>
      <c r="F44" s="27" t="n"/>
      <c r="G44" s="26" t="n"/>
      <c r="H44" s="24" t="n"/>
      <c r="I44" s="26" t="n"/>
    </row>
    <row r="45">
      <c r="A45" s="24" t="n"/>
      <c r="B45" s="25" t="n"/>
      <c r="C45" s="26" t="n"/>
      <c r="D45" s="26" t="n"/>
      <c r="E45" s="26" t="n"/>
      <c r="F45" s="27" t="n"/>
      <c r="G45" s="26" t="n"/>
      <c r="H45" s="24" t="n"/>
      <c r="I45" s="26" t="n"/>
    </row>
    <row r="46">
      <c r="A46" s="24" t="n"/>
      <c r="B46" s="25" t="n"/>
      <c r="C46" s="26" t="n"/>
      <c r="D46" s="26" t="n"/>
      <c r="E46" s="26" t="n"/>
      <c r="F46" s="27" t="n"/>
      <c r="G46" s="26" t="n"/>
      <c r="H46" s="24" t="n"/>
      <c r="I46" s="26" t="n"/>
    </row>
    <row r="47">
      <c r="A47" s="24" t="n"/>
      <c r="B47" s="25" t="n"/>
      <c r="C47" s="26" t="n"/>
      <c r="D47" s="26" t="n"/>
      <c r="E47" s="26" t="n"/>
      <c r="F47" s="27" t="n"/>
      <c r="G47" s="26" t="n"/>
      <c r="H47" s="24" t="n"/>
      <c r="I47" s="26" t="n"/>
    </row>
    <row r="48">
      <c r="A48" s="24" t="n"/>
      <c r="B48" s="25" t="n"/>
      <c r="C48" s="26" t="n"/>
      <c r="D48" s="26" t="n"/>
      <c r="E48" s="26" t="n"/>
      <c r="F48" s="27" t="n"/>
      <c r="G48" s="26" t="n"/>
      <c r="H48" s="24" t="n"/>
      <c r="I48" s="26" t="n"/>
    </row>
    <row r="49">
      <c r="A49" s="24" t="n"/>
      <c r="B49" s="25" t="n"/>
      <c r="C49" s="26" t="n"/>
      <c r="D49" s="26" t="n"/>
      <c r="E49" s="26" t="n"/>
      <c r="F49" s="27" t="n"/>
      <c r="G49" s="26" t="n"/>
      <c r="H49" s="24" t="n"/>
      <c r="I49" s="26" t="n"/>
    </row>
    <row r="50">
      <c r="A50" s="24" t="n"/>
      <c r="B50" s="25" t="n"/>
      <c r="C50" s="26" t="n"/>
      <c r="D50" s="26" t="n"/>
      <c r="E50" s="26" t="n"/>
      <c r="F50" s="27" t="n"/>
      <c r="G50" s="26" t="n"/>
      <c r="H50" s="24" t="n"/>
      <c r="I50" s="26" t="n"/>
    </row>
    <row r="51">
      <c r="A51" s="24" t="n"/>
      <c r="B51" s="25" t="n"/>
      <c r="C51" s="26" t="n"/>
      <c r="D51" s="26" t="n"/>
      <c r="E51" s="26" t="n"/>
      <c r="F51" s="27" t="n"/>
      <c r="G51" s="26" t="n"/>
      <c r="H51" s="24" t="n"/>
      <c r="I51" s="26" t="n"/>
    </row>
    <row r="52">
      <c r="A52" s="24" t="n"/>
      <c r="B52" s="25" t="n"/>
      <c r="C52" s="26" t="n"/>
      <c r="D52" s="26" t="n"/>
      <c r="E52" s="26" t="n"/>
      <c r="F52" s="27" t="n"/>
      <c r="G52" s="26" t="n"/>
      <c r="H52" s="24" t="n"/>
      <c r="I52" s="26" t="n"/>
    </row>
    <row r="53">
      <c r="A53" s="24" t="n"/>
      <c r="B53" s="25" t="n"/>
      <c r="C53" s="26" t="n"/>
      <c r="D53" s="26" t="n"/>
      <c r="E53" s="26" t="n"/>
      <c r="F53" s="27" t="n"/>
      <c r="G53" s="26" t="n"/>
      <c r="H53" s="24" t="n"/>
      <c r="I53" s="26" t="n"/>
    </row>
    <row r="54">
      <c r="A54" s="24" t="n"/>
      <c r="B54" s="25" t="n"/>
      <c r="C54" s="26" t="n"/>
      <c r="D54" s="26" t="n"/>
      <c r="E54" s="26" t="n"/>
      <c r="F54" s="27" t="n"/>
      <c r="G54" s="26" t="n"/>
      <c r="H54" s="24" t="n"/>
      <c r="I54" s="26" t="n"/>
    </row>
    <row r="55">
      <c r="A55" s="24" t="n"/>
      <c r="B55" s="25" t="n"/>
      <c r="C55" s="26" t="n"/>
      <c r="D55" s="26" t="n"/>
      <c r="E55" s="26" t="n"/>
      <c r="F55" s="27" t="n"/>
      <c r="G55" s="26" t="n"/>
      <c r="H55" s="24" t="n"/>
      <c r="I55" s="26" t="n"/>
    </row>
    <row r="56">
      <c r="A56" s="24" t="n"/>
      <c r="B56" s="25" t="n"/>
      <c r="C56" s="26" t="n"/>
      <c r="D56" s="26" t="n"/>
      <c r="E56" s="26" t="n"/>
      <c r="F56" s="27" t="n"/>
      <c r="G56" s="26" t="n"/>
      <c r="H56" s="24" t="n"/>
      <c r="I56" s="26" t="n"/>
    </row>
    <row r="57">
      <c r="A57" s="24" t="n"/>
      <c r="B57" s="25" t="n"/>
      <c r="C57" s="26" t="n"/>
      <c r="D57" s="26" t="n"/>
      <c r="E57" s="26" t="n"/>
      <c r="F57" s="27" t="n"/>
      <c r="G57" s="26" t="n"/>
      <c r="H57" s="24" t="n"/>
      <c r="I57" s="26" t="n"/>
    </row>
    <row r="58">
      <c r="A58" s="24" t="n"/>
      <c r="B58" s="25" t="n"/>
      <c r="C58" s="26" t="n"/>
      <c r="D58" s="26" t="n"/>
      <c r="E58" s="26" t="n"/>
      <c r="F58" s="27" t="n"/>
      <c r="G58" s="26" t="n"/>
      <c r="H58" s="24" t="n"/>
      <c r="I58" s="26" t="n"/>
    </row>
    <row r="59">
      <c r="A59" s="24" t="n"/>
      <c r="B59" s="25" t="n"/>
      <c r="C59" s="26" t="n"/>
      <c r="D59" s="26" t="n"/>
      <c r="E59" s="26" t="n"/>
      <c r="F59" s="27" t="n"/>
      <c r="G59" s="26" t="n"/>
      <c r="H59" s="24" t="n"/>
      <c r="I59" s="26" t="n"/>
    </row>
    <row r="60">
      <c r="A60" s="24" t="n"/>
      <c r="B60" s="25" t="n"/>
      <c r="C60" s="26" t="n"/>
      <c r="D60" s="26" t="n"/>
      <c r="E60" s="26" t="n"/>
      <c r="F60" s="27" t="n"/>
      <c r="G60" s="26" t="n"/>
      <c r="H60" s="24" t="n"/>
      <c r="I60" s="26" t="n"/>
    </row>
    <row r="61">
      <c r="A61" s="24" t="n"/>
      <c r="B61" s="25" t="n"/>
      <c r="C61" s="26" t="n"/>
      <c r="D61" s="26" t="n"/>
      <c r="E61" s="26" t="n"/>
      <c r="F61" s="27" t="n"/>
      <c r="G61" s="26" t="n"/>
      <c r="H61" s="24" t="n"/>
      <c r="I61" s="26" t="n"/>
    </row>
    <row r="62">
      <c r="A62" s="24" t="n"/>
      <c r="B62" s="25" t="n"/>
      <c r="C62" s="26" t="n"/>
      <c r="D62" s="26" t="n"/>
      <c r="E62" s="26" t="n"/>
      <c r="F62" s="27" t="n"/>
      <c r="G62" s="26" t="n"/>
      <c r="H62" s="24" t="n"/>
      <c r="I62" s="26" t="n"/>
    </row>
    <row r="63">
      <c r="A63" s="24" t="n"/>
      <c r="B63" s="25" t="n"/>
      <c r="C63" s="26" t="n"/>
      <c r="D63" s="26" t="n"/>
      <c r="E63" s="26" t="n"/>
      <c r="F63" s="27" t="n"/>
      <c r="G63" s="26" t="n"/>
      <c r="H63" s="24" t="n"/>
      <c r="I63" s="26" t="n"/>
    </row>
    <row r="64">
      <c r="A64" s="24" t="n"/>
      <c r="B64" s="25" t="n"/>
      <c r="C64" s="26" t="n"/>
      <c r="D64" s="26" t="n"/>
      <c r="E64" s="26" t="n"/>
      <c r="F64" s="27" t="n"/>
      <c r="G64" s="26" t="n"/>
      <c r="H64" s="24" t="n"/>
      <c r="I64" s="26" t="n"/>
    </row>
    <row r="65">
      <c r="A65" s="24" t="n"/>
      <c r="B65" s="25" t="n"/>
      <c r="C65" s="26" t="n"/>
      <c r="D65" s="26" t="n"/>
      <c r="E65" s="26" t="n"/>
      <c r="F65" s="27" t="n"/>
      <c r="G65" s="26" t="n"/>
      <c r="H65" s="24" t="n"/>
      <c r="I65" s="26" t="n"/>
    </row>
    <row r="66">
      <c r="A66" s="24" t="n"/>
      <c r="B66" s="25" t="n"/>
      <c r="C66" s="26" t="n"/>
      <c r="D66" s="26" t="n"/>
      <c r="E66" s="26" t="n"/>
      <c r="F66" s="27" t="n"/>
      <c r="G66" s="26" t="n"/>
      <c r="H66" s="24" t="n"/>
      <c r="I66" s="26" t="n"/>
    </row>
    <row r="67">
      <c r="A67" s="24" t="n"/>
      <c r="B67" s="25" t="n"/>
      <c r="C67" s="26" t="n"/>
      <c r="D67" s="26" t="n"/>
      <c r="E67" s="26" t="n"/>
      <c r="F67" s="27" t="n"/>
      <c r="G67" s="26" t="n"/>
      <c r="H67" s="24" t="n"/>
      <c r="I67" s="26" t="n"/>
    </row>
    <row r="68">
      <c r="A68" s="24" t="n"/>
      <c r="B68" s="25" t="n"/>
      <c r="C68" s="26" t="n"/>
      <c r="D68" s="26" t="n"/>
      <c r="E68" s="26" t="n"/>
      <c r="F68" s="27" t="n"/>
      <c r="G68" s="26" t="n"/>
      <c r="H68" s="24" t="n"/>
      <c r="I68" s="26" t="n"/>
    </row>
    <row r="69">
      <c r="A69" s="24" t="n"/>
      <c r="B69" s="25" t="n"/>
      <c r="C69" s="26" t="n"/>
      <c r="D69" s="26" t="n"/>
      <c r="E69" s="26" t="n"/>
      <c r="F69" s="27" t="n"/>
      <c r="G69" s="26" t="n"/>
      <c r="H69" s="24" t="n"/>
      <c r="I69" s="26" t="n"/>
    </row>
    <row r="70">
      <c r="A70" s="24" t="n"/>
      <c r="B70" s="25" t="n"/>
      <c r="C70" s="26" t="n"/>
      <c r="D70" s="26" t="n"/>
      <c r="E70" s="26" t="n"/>
      <c r="F70" s="27" t="n"/>
      <c r="G70" s="26" t="n"/>
      <c r="H70" s="24" t="n"/>
      <c r="I70" s="26" t="n"/>
    </row>
    <row r="71">
      <c r="A71" s="24" t="n"/>
      <c r="B71" s="25" t="n"/>
      <c r="C71" s="26" t="n"/>
      <c r="D71" s="26" t="n"/>
      <c r="E71" s="26" t="n"/>
      <c r="F71" s="27" t="n"/>
      <c r="G71" s="26" t="n"/>
      <c r="H71" s="24" t="n"/>
      <c r="I71" s="26" t="n"/>
    </row>
    <row r="72">
      <c r="A72" s="24" t="n"/>
      <c r="B72" s="25" t="n"/>
      <c r="C72" s="26" t="n"/>
      <c r="D72" s="26" t="n"/>
      <c r="E72" s="26" t="n"/>
      <c r="F72" s="27" t="n"/>
      <c r="G72" s="26" t="n"/>
      <c r="H72" s="24" t="n"/>
      <c r="I72" s="26" t="n"/>
    </row>
    <row r="73">
      <c r="A73" s="24" t="n"/>
      <c r="B73" s="25" t="n"/>
      <c r="C73" s="26" t="n"/>
      <c r="D73" s="26" t="n"/>
      <c r="E73" s="26" t="n"/>
      <c r="F73" s="27" t="n"/>
      <c r="G73" s="26" t="n"/>
      <c r="H73" s="24" t="n"/>
      <c r="I73" s="26" t="n"/>
    </row>
    <row r="74">
      <c r="A74" s="24" t="n"/>
      <c r="B74" s="25" t="n"/>
      <c r="C74" s="26" t="n"/>
      <c r="D74" s="26" t="n"/>
      <c r="E74" s="26" t="n"/>
      <c r="F74" s="27" t="n"/>
      <c r="G74" s="26" t="n"/>
      <c r="H74" s="24" t="n"/>
      <c r="I74" s="26" t="n"/>
    </row>
    <row r="75">
      <c r="A75" s="24" t="n"/>
      <c r="B75" s="25" t="n"/>
      <c r="C75" s="26" t="n"/>
      <c r="D75" s="26" t="n"/>
      <c r="E75" s="26" t="n"/>
      <c r="F75" s="27" t="n"/>
      <c r="G75" s="26" t="n"/>
      <c r="H75" s="24" t="n"/>
      <c r="I75" s="26" t="n"/>
    </row>
    <row r="76">
      <c r="A76" s="24" t="n"/>
      <c r="B76" s="25" t="n"/>
      <c r="C76" s="26" t="n"/>
      <c r="D76" s="26" t="n"/>
      <c r="E76" s="26" t="n"/>
      <c r="F76" s="27" t="n"/>
      <c r="G76" s="26" t="n"/>
      <c r="H76" s="24" t="n"/>
      <c r="I76" s="26" t="n"/>
    </row>
    <row r="77">
      <c r="A77" s="24" t="n"/>
      <c r="B77" s="25" t="n"/>
      <c r="C77" s="26" t="n"/>
      <c r="D77" s="26" t="n"/>
      <c r="E77" s="26" t="n"/>
      <c r="F77" s="27" t="n"/>
      <c r="G77" s="26" t="n"/>
      <c r="H77" s="24" t="n"/>
      <c r="I77" s="26" t="n"/>
    </row>
    <row r="78">
      <c r="A78" s="24" t="n"/>
      <c r="B78" s="25" t="n"/>
      <c r="C78" s="26" t="n"/>
      <c r="D78" s="26" t="n"/>
      <c r="E78" s="26" t="n"/>
      <c r="F78" s="27" t="n"/>
      <c r="G78" s="26" t="n"/>
      <c r="H78" s="24" t="n"/>
      <c r="I78" s="26" t="n"/>
    </row>
    <row r="79">
      <c r="A79" s="24" t="n"/>
      <c r="B79" s="25" t="n"/>
      <c r="C79" s="26" t="n"/>
      <c r="D79" s="26" t="n"/>
      <c r="E79" s="26" t="n"/>
      <c r="F79" s="27" t="n"/>
      <c r="G79" s="26" t="n"/>
      <c r="H79" s="24" t="n"/>
      <c r="I79" s="26" t="n"/>
    </row>
    <row r="80">
      <c r="A80" s="24" t="n"/>
      <c r="B80" s="25" t="n"/>
      <c r="C80" s="26" t="n"/>
      <c r="D80" s="26" t="n"/>
      <c r="E80" s="26" t="n"/>
      <c r="F80" s="27" t="n"/>
      <c r="G80" s="26" t="n"/>
      <c r="H80" s="24" t="n"/>
      <c r="I80" s="26" t="n"/>
    </row>
    <row r="81">
      <c r="A81" s="24" t="n"/>
      <c r="B81" s="25" t="n"/>
      <c r="C81" s="26" t="n"/>
      <c r="D81" s="26" t="n"/>
      <c r="E81" s="26" t="n"/>
      <c r="F81" s="27" t="n"/>
      <c r="G81" s="26" t="n"/>
      <c r="H81" s="24" t="n"/>
      <c r="I81" s="26" t="n"/>
    </row>
    <row r="82">
      <c r="A82" s="24" t="n"/>
      <c r="B82" s="25" t="n"/>
      <c r="C82" s="26" t="n"/>
      <c r="D82" s="26" t="n"/>
      <c r="E82" s="26" t="n"/>
      <c r="F82" s="27" t="n"/>
      <c r="G82" s="26" t="n"/>
      <c r="H82" s="24" t="n"/>
      <c r="I82" s="26" t="n"/>
    </row>
    <row r="83">
      <c r="A83" s="24" t="n"/>
      <c r="B83" s="25" t="n"/>
      <c r="C83" s="26" t="n"/>
      <c r="D83" s="26" t="n"/>
      <c r="E83" s="26" t="n"/>
      <c r="F83" s="27" t="n"/>
      <c r="G83" s="26" t="n"/>
      <c r="H83" s="24" t="n"/>
      <c r="I83" s="26" t="n"/>
    </row>
    <row r="84">
      <c r="A84" s="24" t="n"/>
      <c r="B84" s="25" t="n"/>
      <c r="C84" s="26" t="n"/>
      <c r="D84" s="26" t="n"/>
      <c r="E84" s="26" t="n"/>
      <c r="F84" s="27" t="n"/>
      <c r="G84" s="26" t="n"/>
      <c r="H84" s="24" t="n"/>
      <c r="I84" s="26" t="n"/>
    </row>
    <row r="85">
      <c r="A85" s="24" t="n"/>
      <c r="B85" s="25" t="n"/>
      <c r="C85" s="26" t="n"/>
      <c r="D85" s="26" t="n"/>
      <c r="E85" s="26" t="n"/>
      <c r="F85" s="27" t="n"/>
      <c r="G85" s="26" t="n"/>
      <c r="H85" s="24" t="n"/>
      <c r="I85" s="26" t="n"/>
    </row>
    <row r="86">
      <c r="A86" s="24" t="n"/>
      <c r="B86" s="25" t="n"/>
      <c r="C86" s="26" t="n"/>
      <c r="D86" s="26" t="n"/>
      <c r="E86" s="26" t="n"/>
      <c r="F86" s="27" t="n"/>
      <c r="G86" s="26" t="n"/>
      <c r="H86" s="24" t="n"/>
      <c r="I86" s="26" t="n"/>
    </row>
    <row r="87">
      <c r="A87" s="24" t="n"/>
      <c r="B87" s="25" t="n"/>
      <c r="C87" s="26" t="n"/>
      <c r="D87" s="26" t="n"/>
      <c r="E87" s="26" t="n"/>
      <c r="F87" s="27" t="n"/>
      <c r="G87" s="26" t="n"/>
      <c r="H87" s="24" t="n"/>
      <c r="I87" s="26" t="n"/>
    </row>
    <row r="88">
      <c r="A88" s="24" t="n"/>
      <c r="B88" s="25" t="n"/>
      <c r="C88" s="26" t="n"/>
      <c r="D88" s="26" t="n"/>
      <c r="E88" s="26" t="n"/>
      <c r="F88" s="27" t="n"/>
      <c r="G88" s="26" t="n"/>
      <c r="H88" s="24" t="n"/>
      <c r="I88" s="26" t="n"/>
    </row>
    <row r="89">
      <c r="A89" s="24" t="n"/>
      <c r="B89" s="25" t="n"/>
      <c r="C89" s="26" t="n"/>
      <c r="D89" s="26" t="n"/>
      <c r="E89" s="26" t="n"/>
      <c r="F89" s="27" t="n"/>
      <c r="G89" s="26" t="n"/>
      <c r="H89" s="24" t="n"/>
      <c r="I89" s="26" t="n"/>
    </row>
    <row r="90">
      <c r="A90" s="24" t="n"/>
      <c r="B90" s="25" t="n"/>
      <c r="C90" s="26" t="n"/>
      <c r="D90" s="26" t="n"/>
      <c r="E90" s="26" t="n"/>
      <c r="F90" s="27" t="n"/>
      <c r="G90" s="26" t="n"/>
      <c r="H90" s="24" t="n"/>
      <c r="I90" s="26" t="n"/>
    </row>
    <row r="91">
      <c r="A91" s="24" t="n"/>
      <c r="B91" s="25" t="n"/>
      <c r="C91" s="26" t="n"/>
      <c r="D91" s="26" t="n"/>
      <c r="E91" s="26" t="n"/>
      <c r="F91" s="27" t="n"/>
      <c r="G91" s="26" t="n"/>
      <c r="H91" s="24" t="n"/>
      <c r="I91" s="26" t="n"/>
    </row>
    <row r="92">
      <c r="A92" s="24" t="n"/>
      <c r="B92" s="25" t="n"/>
      <c r="C92" s="26" t="n"/>
      <c r="D92" s="26" t="n"/>
      <c r="E92" s="26" t="n"/>
      <c r="F92" s="27" t="n"/>
      <c r="G92" s="26" t="n"/>
      <c r="H92" s="24" t="n"/>
      <c r="I92" s="26" t="n"/>
    </row>
    <row r="93">
      <c r="A93" s="24" t="n"/>
      <c r="B93" s="25" t="n"/>
      <c r="C93" s="26" t="n"/>
      <c r="D93" s="26" t="n"/>
      <c r="E93" s="26" t="n"/>
      <c r="F93" s="27" t="n"/>
      <c r="G93" s="26" t="n"/>
      <c r="H93" s="24" t="n"/>
      <c r="I93" s="26" t="n"/>
    </row>
    <row r="94">
      <c r="A94" s="24" t="n"/>
      <c r="B94" s="25" t="n"/>
      <c r="C94" s="26" t="n"/>
      <c r="D94" s="26" t="n"/>
      <c r="E94" s="26" t="n"/>
      <c r="F94" s="27" t="n"/>
      <c r="G94" s="26" t="n"/>
      <c r="H94" s="24" t="n"/>
      <c r="I94" s="26" t="n"/>
    </row>
    <row r="95">
      <c r="A95" s="24" t="n"/>
      <c r="B95" s="25" t="n"/>
      <c r="C95" s="26" t="n"/>
      <c r="D95" s="26" t="n"/>
      <c r="E95" s="26" t="n"/>
      <c r="F95" s="27" t="n"/>
      <c r="G95" s="26" t="n"/>
      <c r="H95" s="24" t="n"/>
      <c r="I95" s="26" t="n"/>
    </row>
    <row r="96">
      <c r="A96" s="24" t="n"/>
      <c r="B96" s="25" t="n"/>
      <c r="C96" s="26" t="n"/>
      <c r="D96" s="26" t="n"/>
      <c r="E96" s="26" t="n"/>
      <c r="F96" s="27" t="n"/>
      <c r="G96" s="26" t="n"/>
      <c r="H96" s="24" t="n"/>
      <c r="I96" s="26" t="n"/>
    </row>
    <row r="97">
      <c r="A97" s="24" t="n"/>
      <c r="B97" s="25" t="n"/>
      <c r="C97" s="26" t="n"/>
      <c r="D97" s="26" t="n"/>
      <c r="E97" s="26" t="n"/>
      <c r="F97" s="27" t="n"/>
      <c r="G97" s="26" t="n"/>
      <c r="H97" s="24" t="n"/>
      <c r="I97" s="26" t="n"/>
    </row>
    <row r="98">
      <c r="A98" s="24" t="n"/>
      <c r="B98" s="25" t="n"/>
      <c r="C98" s="26" t="n"/>
      <c r="D98" s="26" t="n"/>
      <c r="E98" s="26" t="n"/>
      <c r="F98" s="27" t="n"/>
      <c r="G98" s="26" t="n"/>
      <c r="H98" s="24" t="n"/>
      <c r="I98" s="26" t="n"/>
    </row>
    <row r="99">
      <c r="A99" s="24" t="n"/>
      <c r="B99" s="25" t="n"/>
      <c r="C99" s="26" t="n"/>
      <c r="D99" s="26" t="n"/>
      <c r="E99" s="26" t="n"/>
      <c r="F99" s="27" t="n"/>
      <c r="G99" s="26" t="n"/>
      <c r="H99" s="24" t="n"/>
      <c r="I99" s="26" t="n"/>
    </row>
    <row r="100">
      <c r="A100" s="24" t="n"/>
      <c r="B100" s="25" t="n"/>
      <c r="C100" s="26" t="n"/>
      <c r="D100" s="26" t="n"/>
      <c r="E100" s="26" t="n"/>
      <c r="F100" s="27" t="n"/>
      <c r="G100" s="26" t="n"/>
      <c r="H100" s="24" t="n"/>
      <c r="I100" s="26" t="n"/>
    </row>
    <row r="101">
      <c r="A101" s="24" t="n"/>
      <c r="B101" s="25" t="n"/>
      <c r="C101" s="26" t="n"/>
      <c r="D101" s="26" t="n"/>
      <c r="E101" s="26" t="n"/>
      <c r="F101" s="27" t="n"/>
      <c r="G101" s="26" t="n"/>
      <c r="H101" s="24" t="n"/>
      <c r="I101" s="26" t="n"/>
    </row>
    <row r="102">
      <c r="A102" s="24" t="n"/>
      <c r="B102" s="25" t="n"/>
      <c r="C102" s="26" t="n"/>
      <c r="D102" s="26" t="n"/>
      <c r="E102" s="26" t="n"/>
      <c r="F102" s="27" t="n"/>
      <c r="G102" s="26" t="n"/>
      <c r="H102" s="24" t="n"/>
      <c r="I102" s="26" t="n"/>
    </row>
    <row r="103">
      <c r="A103" s="24" t="n"/>
      <c r="B103" s="25" t="n"/>
      <c r="C103" s="26" t="n"/>
      <c r="D103" s="26" t="n"/>
      <c r="E103" s="26" t="n"/>
      <c r="F103" s="27" t="n"/>
      <c r="G103" s="26" t="n"/>
      <c r="H103" s="24" t="n"/>
      <c r="I103" s="26" t="n"/>
    </row>
    <row r="104">
      <c r="A104" s="24" t="n"/>
      <c r="B104" s="25" t="n"/>
      <c r="C104" s="26" t="n"/>
      <c r="D104" s="26" t="n"/>
      <c r="E104" s="26" t="n"/>
      <c r="F104" s="27" t="n"/>
      <c r="G104" s="26" t="n"/>
      <c r="H104" s="24" t="n"/>
      <c r="I104" s="26" t="n"/>
    </row>
    <row r="105">
      <c r="A105" s="24" t="n"/>
      <c r="B105" s="25" t="n"/>
      <c r="C105" s="26" t="n"/>
      <c r="D105" s="26" t="n"/>
      <c r="E105" s="26" t="n"/>
      <c r="F105" s="27" t="n"/>
      <c r="G105" s="26" t="n"/>
      <c r="H105" s="24" t="n"/>
      <c r="I105" s="26" t="n"/>
    </row>
    <row r="106">
      <c r="A106" s="24" t="n"/>
      <c r="B106" s="25" t="n"/>
      <c r="C106" s="26" t="n"/>
      <c r="D106" s="26" t="n"/>
      <c r="E106" s="26" t="n"/>
      <c r="F106" s="27" t="n"/>
      <c r="G106" s="26" t="n"/>
      <c r="H106" s="24" t="n"/>
      <c r="I106" s="26" t="n"/>
    </row>
    <row r="107">
      <c r="A107" s="24" t="n"/>
      <c r="B107" s="25" t="n"/>
      <c r="C107" s="26" t="n"/>
      <c r="D107" s="26" t="n"/>
      <c r="E107" s="26" t="n"/>
      <c r="F107" s="27" t="n"/>
      <c r="G107" s="26" t="n"/>
      <c r="H107" s="24" t="n"/>
      <c r="I107" s="26" t="n"/>
    </row>
    <row r="108">
      <c r="A108" s="24" t="n"/>
      <c r="B108" s="25" t="n"/>
      <c r="C108" s="26" t="n"/>
      <c r="D108" s="26" t="n"/>
      <c r="E108" s="26" t="n"/>
      <c r="F108" s="27" t="n"/>
      <c r="G108" s="26" t="n"/>
      <c r="H108" s="24" t="n"/>
      <c r="I108" s="26" t="n"/>
    </row>
    <row r="109">
      <c r="A109" s="24" t="n"/>
      <c r="B109" s="25" t="n"/>
      <c r="C109" s="26" t="n"/>
      <c r="D109" s="26" t="n"/>
      <c r="E109" s="26" t="n"/>
      <c r="F109" s="27" t="n"/>
      <c r="G109" s="26" t="n"/>
      <c r="H109" s="24" t="n"/>
      <c r="I109" s="26" t="n"/>
    </row>
    <row r="110">
      <c r="A110" s="24" t="n"/>
      <c r="B110" s="25" t="n"/>
      <c r="C110" s="26" t="n"/>
      <c r="D110" s="26" t="n"/>
      <c r="E110" s="26" t="n"/>
      <c r="F110" s="27" t="n"/>
      <c r="G110" s="26" t="n"/>
      <c r="H110" s="24" t="n"/>
      <c r="I110" s="26" t="n"/>
    </row>
    <row r="111">
      <c r="A111" s="24" t="n"/>
      <c r="B111" s="25" t="n"/>
      <c r="C111" s="26" t="n"/>
      <c r="D111" s="26" t="n"/>
      <c r="E111" s="26" t="n"/>
      <c r="F111" s="27" t="n"/>
      <c r="G111" s="26" t="n"/>
      <c r="H111" s="24" t="n"/>
      <c r="I111" s="26" t="n"/>
    </row>
    <row r="112">
      <c r="A112" s="24" t="n"/>
      <c r="B112" s="25" t="n"/>
      <c r="C112" s="26" t="n"/>
      <c r="D112" s="26" t="n"/>
      <c r="E112" s="26" t="n"/>
      <c r="F112" s="27" t="n"/>
      <c r="G112" s="26" t="n"/>
      <c r="H112" s="24" t="n"/>
      <c r="I112" s="26" t="n"/>
    </row>
    <row r="113">
      <c r="A113" s="24" t="n"/>
      <c r="B113" s="25" t="n"/>
      <c r="C113" s="26" t="n"/>
      <c r="D113" s="26" t="n"/>
      <c r="E113" s="26" t="n"/>
      <c r="F113" s="27" t="n"/>
      <c r="G113" s="26" t="n"/>
      <c r="H113" s="24" t="n"/>
      <c r="I113" s="26" t="n"/>
    </row>
    <row r="114">
      <c r="A114" s="24" t="n"/>
      <c r="B114" s="25" t="n"/>
      <c r="C114" s="26" t="n"/>
      <c r="D114" s="26" t="n"/>
      <c r="E114" s="26" t="n"/>
      <c r="F114" s="27" t="n"/>
      <c r="G114" s="26" t="n"/>
      <c r="H114" s="24" t="n"/>
      <c r="I114" s="26" t="n"/>
    </row>
    <row r="115">
      <c r="A115" s="24" t="n"/>
      <c r="B115" s="25" t="n"/>
      <c r="C115" s="26" t="n"/>
      <c r="D115" s="26" t="n"/>
      <c r="E115" s="26" t="n"/>
      <c r="F115" s="27" t="n"/>
      <c r="G115" s="26" t="n"/>
      <c r="H115" s="24" t="n"/>
      <c r="I115" s="26" t="n"/>
    </row>
    <row r="116">
      <c r="A116" s="24" t="n"/>
      <c r="B116" s="25" t="n"/>
      <c r="C116" s="26" t="n"/>
      <c r="D116" s="26" t="n"/>
      <c r="E116" s="26" t="n"/>
      <c r="F116" s="27" t="n"/>
      <c r="G116" s="26" t="n"/>
      <c r="H116" s="24" t="n"/>
      <c r="I116" s="26" t="n"/>
    </row>
    <row r="117">
      <c r="A117" s="24" t="n"/>
      <c r="B117" s="25" t="n"/>
      <c r="C117" s="26" t="n"/>
      <c r="D117" s="26" t="n"/>
      <c r="E117" s="26" t="n"/>
      <c r="F117" s="27" t="n"/>
      <c r="G117" s="26" t="n"/>
      <c r="H117" s="24" t="n"/>
      <c r="I117" s="26" t="n"/>
    </row>
    <row r="118">
      <c r="A118" s="24" t="n"/>
      <c r="B118" s="25" t="n"/>
      <c r="C118" s="26" t="n"/>
      <c r="D118" s="26" t="n"/>
      <c r="E118" s="26" t="n"/>
      <c r="F118" s="27" t="n"/>
      <c r="G118" s="26" t="n"/>
      <c r="H118" s="24" t="n"/>
      <c r="I118" s="26" t="n"/>
    </row>
    <row r="119">
      <c r="A119" s="24" t="n"/>
      <c r="B119" s="25" t="n"/>
      <c r="C119" s="26" t="n"/>
      <c r="D119" s="26" t="n"/>
      <c r="E119" s="26" t="n"/>
      <c r="F119" s="27" t="n"/>
      <c r="G119" s="26" t="n"/>
      <c r="H119" s="24" t="n"/>
      <c r="I119" s="26" t="n"/>
    </row>
    <row r="120">
      <c r="A120" s="24" t="n"/>
      <c r="B120" s="25" t="n"/>
      <c r="C120" s="26" t="n"/>
      <c r="D120" s="26" t="n"/>
      <c r="E120" s="26" t="n"/>
      <c r="F120" s="27" t="n"/>
      <c r="G120" s="26" t="n"/>
      <c r="H120" s="24" t="n"/>
      <c r="I120" s="26" t="n"/>
    </row>
    <row r="121">
      <c r="A121" s="24" t="n"/>
      <c r="B121" s="25" t="n"/>
      <c r="C121" s="26" t="n"/>
      <c r="D121" s="26" t="n"/>
      <c r="E121" s="26" t="n"/>
      <c r="F121" s="27" t="n"/>
      <c r="G121" s="26" t="n"/>
      <c r="H121" s="24" t="n"/>
      <c r="I121" s="26" t="n"/>
    </row>
    <row r="122">
      <c r="A122" s="24" t="n"/>
      <c r="B122" s="25" t="n"/>
      <c r="C122" s="26" t="n"/>
      <c r="D122" s="26" t="n"/>
      <c r="E122" s="26" t="n"/>
      <c r="F122" s="27" t="n"/>
      <c r="G122" s="26" t="n"/>
      <c r="H122" s="24" t="n"/>
      <c r="I122" s="26" t="n"/>
    </row>
    <row r="123">
      <c r="A123" s="24" t="n"/>
      <c r="B123" s="25" t="n"/>
      <c r="C123" s="26" t="n"/>
      <c r="D123" s="26" t="n"/>
      <c r="E123" s="26" t="n"/>
      <c r="F123" s="27" t="n"/>
      <c r="G123" s="26" t="n"/>
      <c r="H123" s="24" t="n"/>
      <c r="I123" s="26" t="n"/>
    </row>
    <row r="124">
      <c r="A124" s="24" t="n"/>
      <c r="B124" s="25" t="n"/>
      <c r="C124" s="26" t="n"/>
      <c r="D124" s="26" t="n"/>
      <c r="E124" s="26" t="n"/>
      <c r="F124" s="27" t="n"/>
      <c r="G124" s="26" t="n"/>
      <c r="H124" s="24" t="n"/>
      <c r="I124" s="26" t="n"/>
    </row>
    <row r="125">
      <c r="A125" s="24" t="n"/>
      <c r="B125" s="25" t="n"/>
      <c r="C125" s="26" t="n"/>
      <c r="D125" s="26" t="n"/>
      <c r="E125" s="26" t="n"/>
      <c r="F125" s="27" t="n"/>
      <c r="G125" s="26" t="n"/>
      <c r="H125" s="24" t="n"/>
      <c r="I125" s="26" t="n"/>
    </row>
    <row r="126">
      <c r="A126" s="24" t="n"/>
      <c r="B126" s="25" t="n"/>
      <c r="C126" s="26" t="n"/>
      <c r="D126" s="26" t="n"/>
      <c r="E126" s="26" t="n"/>
      <c r="F126" s="27" t="n"/>
      <c r="G126" s="26" t="n"/>
      <c r="H126" s="24" t="n"/>
      <c r="I126" s="26" t="n"/>
    </row>
    <row r="127">
      <c r="A127" s="24" t="n"/>
      <c r="B127" s="25" t="n"/>
      <c r="C127" s="26" t="n"/>
      <c r="D127" s="26" t="n"/>
      <c r="E127" s="26" t="n"/>
      <c r="F127" s="27" t="n"/>
      <c r="G127" s="26" t="n"/>
      <c r="H127" s="24" t="n"/>
      <c r="I127" s="26" t="n"/>
    </row>
    <row r="128">
      <c r="A128" s="24" t="n"/>
      <c r="B128" s="25" t="n"/>
      <c r="C128" s="26" t="n"/>
      <c r="D128" s="26" t="n"/>
      <c r="E128" s="26" t="n"/>
      <c r="F128" s="27" t="n"/>
      <c r="G128" s="26" t="n"/>
      <c r="H128" s="24" t="n"/>
      <c r="I128" s="26" t="n"/>
    </row>
    <row r="129">
      <c r="A129" s="24" t="n"/>
      <c r="B129" s="25" t="n"/>
      <c r="C129" s="26" t="n"/>
      <c r="D129" s="26" t="n"/>
      <c r="E129" s="26" t="n"/>
      <c r="F129" s="27" t="n"/>
      <c r="G129" s="26" t="n"/>
      <c r="H129" s="24" t="n"/>
      <c r="I129" s="26" t="n"/>
    </row>
    <row r="130">
      <c r="A130" s="24" t="n"/>
      <c r="B130" s="25" t="n"/>
      <c r="C130" s="26" t="n"/>
      <c r="D130" s="26" t="n"/>
      <c r="E130" s="26" t="n"/>
      <c r="F130" s="27" t="n"/>
      <c r="G130" s="26" t="n"/>
      <c r="H130" s="24" t="n"/>
      <c r="I130" s="26" t="n"/>
    </row>
    <row r="131">
      <c r="A131" s="24" t="n"/>
      <c r="B131" s="25" t="n"/>
      <c r="C131" s="26" t="n"/>
      <c r="D131" s="26" t="n"/>
      <c r="E131" s="26" t="n"/>
      <c r="F131" s="27" t="n"/>
      <c r="G131" s="26" t="n"/>
      <c r="H131" s="24" t="n"/>
      <c r="I131" s="26" t="n"/>
    </row>
    <row r="132">
      <c r="A132" s="24" t="n"/>
      <c r="B132" s="25" t="n"/>
      <c r="C132" s="26" t="n"/>
      <c r="D132" s="26" t="n"/>
      <c r="E132" s="26" t="n"/>
      <c r="F132" s="27" t="n"/>
      <c r="G132" s="26" t="n"/>
      <c r="H132" s="24" t="n"/>
      <c r="I132" s="26" t="n"/>
    </row>
    <row r="133">
      <c r="A133" s="24" t="n"/>
      <c r="B133" s="25" t="n"/>
      <c r="C133" s="26" t="n"/>
      <c r="D133" s="26" t="n"/>
      <c r="E133" s="26" t="n"/>
      <c r="F133" s="27" t="n"/>
      <c r="G133" s="26" t="n"/>
      <c r="H133" s="24" t="n"/>
      <c r="I133" s="26" t="n"/>
    </row>
    <row r="134">
      <c r="A134" s="24" t="n"/>
      <c r="B134" s="25" t="n"/>
      <c r="C134" s="26" t="n"/>
      <c r="D134" s="26" t="n"/>
      <c r="E134" s="26" t="n"/>
      <c r="F134" s="27" t="n"/>
      <c r="G134" s="26" t="n"/>
      <c r="H134" s="24" t="n"/>
      <c r="I134" s="26" t="n"/>
    </row>
    <row r="135">
      <c r="A135" s="24" t="n"/>
      <c r="B135" s="25" t="n"/>
      <c r="C135" s="26" t="n"/>
      <c r="D135" s="26" t="n"/>
      <c r="E135" s="26" t="n"/>
      <c r="F135" s="27" t="n"/>
      <c r="G135" s="26" t="n"/>
      <c r="H135" s="24" t="n"/>
      <c r="I135" s="26" t="n"/>
    </row>
    <row r="136">
      <c r="A136" s="24" t="n"/>
      <c r="B136" s="25" t="n"/>
      <c r="C136" s="26" t="n"/>
      <c r="D136" s="26" t="n"/>
      <c r="E136" s="26" t="n"/>
      <c r="F136" s="27" t="n"/>
      <c r="G136" s="26" t="n"/>
      <c r="H136" s="24" t="n"/>
      <c r="I136" s="26" t="n"/>
    </row>
    <row r="137">
      <c r="A137" s="24" t="n"/>
      <c r="B137" s="25" t="n"/>
      <c r="C137" s="26" t="n"/>
      <c r="D137" s="26" t="n"/>
      <c r="E137" s="26" t="n"/>
      <c r="F137" s="27" t="n"/>
      <c r="G137" s="26" t="n"/>
      <c r="H137" s="24" t="n"/>
      <c r="I137" s="26" t="n"/>
    </row>
    <row r="138">
      <c r="A138" s="24" t="n"/>
      <c r="B138" s="25" t="n"/>
      <c r="C138" s="26" t="n"/>
      <c r="D138" s="26" t="n"/>
      <c r="E138" s="26" t="n"/>
      <c r="F138" s="27" t="n"/>
      <c r="G138" s="26" t="n"/>
      <c r="H138" s="24" t="n"/>
      <c r="I138" s="26" t="n"/>
    </row>
    <row r="139">
      <c r="A139" s="24" t="n"/>
      <c r="B139" s="25" t="n"/>
      <c r="C139" s="26" t="n"/>
      <c r="D139" s="26" t="n"/>
      <c r="E139" s="26" t="n"/>
      <c r="F139" s="27" t="n"/>
      <c r="G139" s="26" t="n"/>
      <c r="H139" s="24" t="n"/>
      <c r="I139" s="26" t="n"/>
    </row>
    <row r="140">
      <c r="A140" s="24" t="n"/>
      <c r="B140" s="25" t="n"/>
      <c r="C140" s="26" t="n"/>
      <c r="D140" s="26" t="n"/>
      <c r="E140" s="26" t="n"/>
      <c r="F140" s="27" t="n"/>
      <c r="G140" s="26" t="n"/>
      <c r="H140" s="24" t="n"/>
      <c r="I140" s="26" t="n"/>
    </row>
    <row r="141">
      <c r="A141" s="24" t="n"/>
      <c r="B141" s="25" t="n"/>
      <c r="C141" s="26" t="n"/>
      <c r="D141" s="26" t="n"/>
      <c r="E141" s="26" t="n"/>
      <c r="F141" s="27" t="n"/>
      <c r="G141" s="26" t="n"/>
      <c r="H141" s="24" t="n"/>
      <c r="I141" s="26" t="n"/>
    </row>
    <row r="142">
      <c r="A142" s="24" t="n"/>
      <c r="B142" s="25" t="n"/>
      <c r="C142" s="26" t="n"/>
      <c r="D142" s="26" t="n"/>
      <c r="E142" s="26" t="n"/>
      <c r="F142" s="27" t="n"/>
      <c r="G142" s="26" t="n"/>
      <c r="H142" s="24" t="n"/>
      <c r="I142" s="26" t="n"/>
    </row>
    <row r="143">
      <c r="A143" s="24" t="n"/>
      <c r="B143" s="25" t="n"/>
      <c r="C143" s="26" t="n"/>
      <c r="D143" s="26" t="n"/>
      <c r="E143" s="26" t="n"/>
      <c r="F143" s="27" t="n"/>
      <c r="G143" s="26" t="n"/>
      <c r="H143" s="24" t="n"/>
      <c r="I143" s="26" t="n"/>
    </row>
    <row r="144">
      <c r="A144" s="24" t="n"/>
      <c r="B144" s="25" t="n"/>
      <c r="C144" s="26" t="n"/>
      <c r="D144" s="26" t="n"/>
      <c r="E144" s="26" t="n"/>
      <c r="F144" s="27" t="n"/>
      <c r="G144" s="26" t="n"/>
      <c r="H144" s="24" t="n"/>
      <c r="I144" s="26" t="n"/>
    </row>
    <row r="145">
      <c r="A145" s="24" t="n"/>
      <c r="B145" s="25" t="n"/>
      <c r="C145" s="26" t="n"/>
      <c r="D145" s="26" t="n"/>
      <c r="E145" s="26" t="n"/>
      <c r="F145" s="27" t="n"/>
      <c r="G145" s="26" t="n"/>
      <c r="H145" s="24" t="n"/>
      <c r="I145" s="26" t="n"/>
    </row>
    <row r="146">
      <c r="A146" s="24" t="n"/>
      <c r="B146" s="25" t="n"/>
      <c r="C146" s="26" t="n"/>
      <c r="D146" s="26" t="n"/>
      <c r="E146" s="26" t="n"/>
      <c r="F146" s="27" t="n"/>
      <c r="G146" s="26" t="n"/>
      <c r="H146" s="24" t="n"/>
      <c r="I146" s="26" t="n"/>
    </row>
    <row r="147">
      <c r="A147" s="24" t="n"/>
      <c r="B147" s="25" t="n"/>
      <c r="C147" s="26" t="n"/>
      <c r="D147" s="26" t="n"/>
      <c r="E147" s="26" t="n"/>
      <c r="F147" s="27" t="n"/>
      <c r="G147" s="26" t="n"/>
      <c r="H147" s="24" t="n"/>
      <c r="I147" s="26" t="n"/>
    </row>
    <row r="148">
      <c r="A148" s="24" t="n"/>
      <c r="B148" s="25" t="n"/>
      <c r="C148" s="26" t="n"/>
      <c r="D148" s="26" t="n"/>
      <c r="E148" s="26" t="n"/>
      <c r="F148" s="27" t="n"/>
      <c r="G148" s="26" t="n"/>
      <c r="H148" s="24" t="n"/>
      <c r="I148" s="26" t="n"/>
    </row>
    <row r="149">
      <c r="A149" s="24" t="n"/>
      <c r="B149" s="25" t="n"/>
      <c r="C149" s="26" t="n"/>
      <c r="D149" s="26" t="n"/>
      <c r="E149" s="26" t="n"/>
      <c r="F149" s="27" t="n"/>
      <c r="G149" s="26" t="n"/>
      <c r="H149" s="24" t="n"/>
      <c r="I149" s="26" t="n"/>
    </row>
    <row r="150">
      <c r="A150" s="24" t="n"/>
      <c r="B150" s="25" t="n"/>
      <c r="C150" s="26" t="n"/>
      <c r="D150" s="26" t="n"/>
      <c r="E150" s="26" t="n"/>
      <c r="F150" s="27" t="n"/>
      <c r="G150" s="26" t="n"/>
      <c r="H150" s="24" t="n"/>
      <c r="I150" s="26" t="n"/>
    </row>
    <row r="151">
      <c r="A151" s="24" t="n"/>
      <c r="B151" s="25" t="n"/>
      <c r="C151" s="26" t="n"/>
      <c r="D151" s="26" t="n"/>
      <c r="E151" s="26" t="n"/>
      <c r="F151" s="27" t="n"/>
      <c r="G151" s="26" t="n"/>
      <c r="H151" s="24" t="n"/>
      <c r="I151" s="26" t="n"/>
    </row>
    <row r="152">
      <c r="A152" s="24" t="n"/>
      <c r="B152" s="25" t="n"/>
      <c r="C152" s="26" t="n"/>
      <c r="D152" s="26" t="n"/>
      <c r="E152" s="26" t="n"/>
      <c r="F152" s="27" t="n"/>
      <c r="G152" s="26" t="n"/>
      <c r="H152" s="24" t="n"/>
      <c r="I152" s="26" t="n"/>
    </row>
    <row r="153">
      <c r="A153" s="24" t="n"/>
      <c r="B153" s="25" t="n"/>
      <c r="C153" s="26" t="n"/>
      <c r="D153" s="26" t="n"/>
      <c r="E153" s="26" t="n"/>
      <c r="F153" s="27" t="n"/>
      <c r="G153" s="26" t="n"/>
      <c r="H153" s="24" t="n"/>
      <c r="I153" s="26" t="n"/>
    </row>
    <row r="154">
      <c r="A154" s="24" t="n"/>
      <c r="B154" s="25" t="n"/>
      <c r="C154" s="26" t="n"/>
      <c r="D154" s="26" t="n"/>
      <c r="E154" s="26" t="n"/>
      <c r="F154" s="27" t="n"/>
      <c r="G154" s="26" t="n"/>
      <c r="H154" s="24" t="n"/>
      <c r="I154" s="26" t="n"/>
    </row>
    <row r="155">
      <c r="A155" s="24" t="n"/>
      <c r="B155" s="25" t="n"/>
      <c r="C155" s="26" t="n"/>
      <c r="D155" s="26" t="n"/>
      <c r="E155" s="26" t="n"/>
      <c r="F155" s="27" t="n"/>
      <c r="G155" s="26" t="n"/>
      <c r="H155" s="24" t="n"/>
      <c r="I155" s="26" t="n"/>
    </row>
    <row r="156">
      <c r="A156" s="24" t="n"/>
      <c r="B156" s="25" t="n"/>
      <c r="C156" s="26" t="n"/>
      <c r="D156" s="26" t="n"/>
      <c r="E156" s="26" t="n"/>
      <c r="F156" s="27" t="n"/>
      <c r="G156" s="26" t="n"/>
      <c r="H156" s="24" t="n"/>
      <c r="I156" s="26" t="n"/>
    </row>
    <row r="157">
      <c r="A157" s="24" t="n"/>
      <c r="B157" s="25" t="n"/>
      <c r="C157" s="26" t="n"/>
      <c r="D157" s="26" t="n"/>
      <c r="E157" s="26" t="n"/>
      <c r="F157" s="27" t="n"/>
      <c r="G157" s="26" t="n"/>
      <c r="H157" s="24" t="n"/>
      <c r="I157" s="26" t="n"/>
    </row>
    <row r="158">
      <c r="A158" s="24" t="n"/>
      <c r="B158" s="25" t="n"/>
      <c r="C158" s="26" t="n"/>
      <c r="D158" s="26" t="n"/>
      <c r="E158" s="26" t="n"/>
      <c r="F158" s="27" t="n"/>
      <c r="G158" s="26" t="n"/>
      <c r="H158" s="24" t="n"/>
      <c r="I158" s="26" t="n"/>
    </row>
    <row r="159">
      <c r="A159" s="24" t="n"/>
      <c r="B159" s="25" t="n"/>
      <c r="C159" s="26" t="n"/>
      <c r="D159" s="26" t="n"/>
      <c r="E159" s="26" t="n"/>
      <c r="F159" s="27" t="n"/>
      <c r="G159" s="26" t="n"/>
      <c r="H159" s="24" t="n"/>
      <c r="I159" s="26" t="n"/>
    </row>
    <row r="160">
      <c r="A160" s="24" t="n"/>
      <c r="B160" s="25" t="n"/>
      <c r="C160" s="26" t="n"/>
      <c r="D160" s="26" t="n"/>
      <c r="E160" s="26" t="n"/>
      <c r="F160" s="27" t="n"/>
      <c r="G160" s="26" t="n"/>
      <c r="H160" s="24" t="n"/>
      <c r="I160" s="26" t="n"/>
    </row>
    <row r="161">
      <c r="A161" s="24" t="n"/>
      <c r="B161" s="25" t="n"/>
      <c r="C161" s="26" t="n"/>
      <c r="D161" s="26" t="n"/>
      <c r="E161" s="26" t="n"/>
      <c r="F161" s="27" t="n"/>
      <c r="G161" s="26" t="n"/>
      <c r="H161" s="24" t="n"/>
      <c r="I161" s="26" t="n"/>
    </row>
    <row r="162">
      <c r="A162" s="24" t="n"/>
      <c r="B162" s="25" t="n"/>
      <c r="C162" s="26" t="n"/>
      <c r="D162" s="26" t="n"/>
      <c r="E162" s="26" t="n"/>
      <c r="F162" s="27" t="n"/>
      <c r="G162" s="26" t="n"/>
      <c r="H162" s="24" t="n"/>
      <c r="I162" s="26" t="n"/>
    </row>
    <row r="163">
      <c r="A163" s="24" t="n"/>
      <c r="B163" s="25" t="n"/>
      <c r="C163" s="26" t="n"/>
      <c r="D163" s="26" t="n"/>
      <c r="E163" s="26" t="n"/>
      <c r="F163" s="27" t="n"/>
      <c r="G163" s="26" t="n"/>
      <c r="H163" s="24" t="n"/>
      <c r="I163" s="26" t="n"/>
    </row>
    <row r="164">
      <c r="A164" s="24" t="n"/>
      <c r="B164" s="25" t="n"/>
      <c r="C164" s="26" t="n"/>
      <c r="D164" s="26" t="n"/>
      <c r="E164" s="26" t="n"/>
      <c r="F164" s="27" t="n"/>
      <c r="G164" s="26" t="n"/>
      <c r="H164" s="24" t="n"/>
      <c r="I164" s="26" t="n"/>
    </row>
    <row r="165">
      <c r="A165" s="24" t="n"/>
      <c r="B165" s="25" t="n"/>
      <c r="C165" s="26" t="n"/>
      <c r="D165" s="26" t="n"/>
      <c r="E165" s="26" t="n"/>
      <c r="F165" s="27" t="n"/>
      <c r="G165" s="26" t="n"/>
      <c r="H165" s="24" t="n"/>
      <c r="I165" s="26" t="n"/>
    </row>
    <row r="166">
      <c r="A166" s="24" t="n"/>
      <c r="B166" s="25" t="n"/>
      <c r="C166" s="26" t="n"/>
      <c r="D166" s="26" t="n"/>
      <c r="E166" s="26" t="n"/>
      <c r="F166" s="27" t="n"/>
      <c r="G166" s="26" t="n"/>
      <c r="H166" s="24" t="n"/>
      <c r="I166" s="26" t="n"/>
    </row>
    <row r="167">
      <c r="A167" s="24" t="n"/>
      <c r="B167" s="25" t="n"/>
      <c r="C167" s="26" t="n"/>
      <c r="D167" s="26" t="n"/>
      <c r="E167" s="26" t="n"/>
      <c r="F167" s="27" t="n"/>
      <c r="G167" s="26" t="n"/>
      <c r="H167" s="24" t="n"/>
      <c r="I167" s="26" t="n"/>
    </row>
    <row r="168">
      <c r="A168" s="24" t="n"/>
      <c r="B168" s="25" t="n"/>
      <c r="C168" s="26" t="n"/>
      <c r="D168" s="26" t="n"/>
      <c r="E168" s="26" t="n"/>
      <c r="F168" s="27" t="n"/>
      <c r="G168" s="26" t="n"/>
      <c r="H168" s="24" t="n"/>
      <c r="I168" s="26" t="n"/>
    </row>
    <row r="169">
      <c r="A169" s="24" t="n"/>
      <c r="B169" s="25" t="n"/>
      <c r="C169" s="26" t="n"/>
      <c r="D169" s="26" t="n"/>
      <c r="E169" s="26" t="n"/>
      <c r="F169" s="27" t="n"/>
      <c r="G169" s="26" t="n"/>
      <c r="H169" s="24" t="n"/>
      <c r="I169" s="26" t="n"/>
    </row>
    <row r="170">
      <c r="A170" s="24" t="n"/>
      <c r="B170" s="25" t="n"/>
      <c r="C170" s="26" t="n"/>
      <c r="D170" s="26" t="n"/>
      <c r="E170" s="26" t="n"/>
      <c r="F170" s="27" t="n"/>
      <c r="G170" s="26" t="n"/>
      <c r="H170" s="24" t="n"/>
      <c r="I170" s="26" t="n"/>
    </row>
    <row r="171">
      <c r="A171" s="24" t="n"/>
      <c r="B171" s="25" t="n"/>
      <c r="C171" s="26" t="n"/>
      <c r="D171" s="26" t="n"/>
      <c r="E171" s="26" t="n"/>
      <c r="F171" s="27" t="n"/>
      <c r="G171" s="26" t="n"/>
      <c r="H171" s="24" t="n"/>
      <c r="I171" s="26" t="n"/>
    </row>
    <row r="172">
      <c r="A172" s="24" t="n"/>
      <c r="B172" s="25" t="n"/>
      <c r="C172" s="26" t="n"/>
      <c r="D172" s="26" t="n"/>
      <c r="E172" s="26" t="n"/>
      <c r="F172" s="27" t="n"/>
      <c r="G172" s="26" t="n"/>
      <c r="H172" s="24" t="n"/>
      <c r="I172" s="26" t="n"/>
    </row>
    <row r="173">
      <c r="A173" s="24" t="n"/>
      <c r="B173" s="25" t="n"/>
      <c r="C173" s="26" t="n"/>
      <c r="D173" s="26" t="n"/>
      <c r="E173" s="26" t="n"/>
      <c r="F173" s="27" t="n"/>
      <c r="G173" s="26" t="n"/>
      <c r="H173" s="24" t="n"/>
      <c r="I173" s="26" t="n"/>
    </row>
    <row r="174">
      <c r="A174" s="24" t="n"/>
      <c r="B174" s="25" t="n"/>
      <c r="C174" s="26" t="n"/>
      <c r="D174" s="26" t="n"/>
      <c r="E174" s="26" t="n"/>
      <c r="F174" s="27" t="n"/>
      <c r="G174" s="26" t="n"/>
      <c r="H174" s="24" t="n"/>
      <c r="I174" s="26" t="n"/>
    </row>
    <row r="175">
      <c r="A175" s="24" t="n"/>
      <c r="B175" s="25" t="n"/>
      <c r="C175" s="26" t="n"/>
      <c r="D175" s="26" t="n"/>
      <c r="E175" s="26" t="n"/>
      <c r="F175" s="27" t="n"/>
      <c r="G175" s="26" t="n"/>
      <c r="H175" s="24" t="n"/>
      <c r="I175" s="26" t="n"/>
    </row>
    <row r="176">
      <c r="A176" s="24" t="n"/>
      <c r="B176" s="25" t="n"/>
      <c r="C176" s="26" t="n"/>
      <c r="D176" s="26" t="n"/>
      <c r="E176" s="26" t="n"/>
      <c r="F176" s="27" t="n"/>
      <c r="G176" s="26" t="n"/>
      <c r="H176" s="24" t="n"/>
      <c r="I176" s="26" t="n"/>
    </row>
    <row r="177">
      <c r="A177" s="24" t="n"/>
      <c r="B177" s="25" t="n"/>
      <c r="C177" s="26" t="n"/>
      <c r="D177" s="26" t="n"/>
      <c r="E177" s="26" t="n"/>
      <c r="F177" s="27" t="n"/>
      <c r="G177" s="26" t="n"/>
      <c r="H177" s="24" t="n"/>
      <c r="I177" s="26" t="n"/>
    </row>
    <row r="178">
      <c r="A178" s="24" t="n"/>
      <c r="B178" s="25" t="n"/>
      <c r="C178" s="26" t="n"/>
      <c r="D178" s="26" t="n"/>
      <c r="E178" s="26" t="n"/>
      <c r="F178" s="27" t="n"/>
      <c r="G178" s="26" t="n"/>
      <c r="H178" s="24" t="n"/>
      <c r="I178" s="26" t="n"/>
    </row>
    <row r="179">
      <c r="A179" s="24" t="n"/>
      <c r="B179" s="25" t="n"/>
      <c r="C179" s="26" t="n"/>
      <c r="D179" s="26" t="n"/>
      <c r="E179" s="26" t="n"/>
      <c r="F179" s="27" t="n"/>
      <c r="G179" s="26" t="n"/>
      <c r="H179" s="24" t="n"/>
      <c r="I179" s="26" t="n"/>
    </row>
    <row r="180">
      <c r="A180" s="24" t="n"/>
      <c r="B180" s="25" t="n"/>
      <c r="C180" s="26" t="n"/>
      <c r="D180" s="26" t="n"/>
      <c r="E180" s="26" t="n"/>
      <c r="F180" s="27" t="n"/>
      <c r="G180" s="26" t="n"/>
      <c r="H180" s="24" t="n"/>
      <c r="I180" s="26" t="n"/>
    </row>
    <row r="181">
      <c r="A181" s="24" t="n"/>
      <c r="B181" s="25" t="n"/>
      <c r="C181" s="26" t="n"/>
      <c r="D181" s="26" t="n"/>
      <c r="E181" s="26" t="n"/>
      <c r="F181" s="27" t="n"/>
      <c r="G181" s="26" t="n"/>
      <c r="H181" s="24" t="n"/>
      <c r="I181" s="26" t="n"/>
    </row>
    <row r="182">
      <c r="A182" s="24" t="n"/>
      <c r="B182" s="25" t="n"/>
      <c r="C182" s="26" t="n"/>
      <c r="D182" s="26" t="n"/>
      <c r="E182" s="26" t="n"/>
      <c r="F182" s="27" t="n"/>
      <c r="G182" s="26" t="n"/>
      <c r="H182" s="24" t="n"/>
      <c r="I182" s="26" t="n"/>
    </row>
    <row r="183">
      <c r="A183" s="24" t="n"/>
      <c r="B183" s="25" t="n"/>
      <c r="C183" s="26" t="n"/>
      <c r="D183" s="26" t="n"/>
      <c r="E183" s="26" t="n"/>
      <c r="F183" s="27" t="n"/>
      <c r="G183" s="26" t="n"/>
      <c r="H183" s="24" t="n"/>
      <c r="I183" s="26" t="n"/>
    </row>
    <row r="184">
      <c r="A184" s="24" t="n"/>
      <c r="B184" s="25" t="n"/>
      <c r="C184" s="26" t="n"/>
      <c r="D184" s="26" t="n"/>
      <c r="E184" s="26" t="n"/>
      <c r="F184" s="27" t="n"/>
      <c r="G184" s="26" t="n"/>
      <c r="H184" s="24" t="n"/>
      <c r="I184" s="26" t="n"/>
    </row>
    <row r="185">
      <c r="A185" s="24" t="n"/>
      <c r="B185" s="25" t="n"/>
      <c r="C185" s="26" t="n"/>
      <c r="D185" s="26" t="n"/>
      <c r="E185" s="26" t="n"/>
      <c r="F185" s="27" t="n"/>
      <c r="G185" s="26" t="n"/>
      <c r="H185" s="24" t="n"/>
      <c r="I185" s="26" t="n"/>
    </row>
    <row r="186">
      <c r="A186" s="24" t="n"/>
      <c r="B186" s="25" t="n"/>
      <c r="C186" s="26" t="n"/>
      <c r="D186" s="26" t="n"/>
      <c r="E186" s="26" t="n"/>
      <c r="F186" s="27" t="n"/>
      <c r="G186" s="26" t="n"/>
      <c r="H186" s="24" t="n"/>
      <c r="I186" s="26" t="n"/>
    </row>
    <row r="187">
      <c r="A187" s="24" t="n"/>
      <c r="B187" s="25" t="n"/>
      <c r="C187" s="26" t="n"/>
      <c r="D187" s="26" t="n"/>
      <c r="E187" s="26" t="n"/>
      <c r="F187" s="27" t="n"/>
      <c r="G187" s="26" t="n"/>
      <c r="H187" s="24" t="n"/>
      <c r="I187" s="26" t="n"/>
    </row>
    <row r="188">
      <c r="A188" s="24" t="n"/>
      <c r="B188" s="25" t="n"/>
      <c r="C188" s="26" t="n"/>
      <c r="D188" s="26" t="n"/>
      <c r="E188" s="26" t="n"/>
      <c r="F188" s="27" t="n"/>
      <c r="G188" s="26" t="n"/>
      <c r="H188" s="24" t="n"/>
      <c r="I188" s="26" t="n"/>
    </row>
    <row r="189">
      <c r="A189" s="24" t="n"/>
      <c r="B189" s="25" t="n"/>
      <c r="C189" s="26" t="n"/>
      <c r="D189" s="26" t="n"/>
      <c r="E189" s="26" t="n"/>
      <c r="F189" s="27" t="n"/>
      <c r="G189" s="26" t="n"/>
      <c r="H189" s="24" t="n"/>
      <c r="I189" s="26" t="n"/>
    </row>
    <row r="190">
      <c r="A190" s="24" t="n"/>
      <c r="B190" s="25" t="n"/>
      <c r="C190" s="26" t="n"/>
      <c r="D190" s="26" t="n"/>
      <c r="E190" s="26" t="n"/>
      <c r="F190" s="27" t="n"/>
      <c r="G190" s="26" t="n"/>
      <c r="H190" s="24" t="n"/>
      <c r="I190" s="26" t="n"/>
    </row>
    <row r="191">
      <c r="A191" s="24" t="n"/>
      <c r="B191" s="25" t="n"/>
      <c r="C191" s="26" t="n"/>
      <c r="D191" s="26" t="n"/>
      <c r="E191" s="26" t="n"/>
      <c r="F191" s="27" t="n"/>
      <c r="G191" s="26" t="n"/>
      <c r="H191" s="24" t="n"/>
      <c r="I191" s="26" t="n"/>
    </row>
    <row r="192">
      <c r="A192" s="24" t="n"/>
      <c r="B192" s="25" t="n"/>
      <c r="C192" s="26" t="n"/>
      <c r="D192" s="26" t="n"/>
      <c r="E192" s="26" t="n"/>
      <c r="F192" s="27" t="n"/>
      <c r="G192" s="26" t="n"/>
      <c r="H192" s="24" t="n"/>
      <c r="I192" s="26" t="n"/>
    </row>
    <row r="193">
      <c r="A193" s="24" t="n"/>
      <c r="B193" s="25" t="n"/>
      <c r="C193" s="26" t="n"/>
      <c r="D193" s="26" t="n"/>
      <c r="E193" s="26" t="n"/>
      <c r="F193" s="27" t="n"/>
      <c r="G193" s="26" t="n"/>
      <c r="H193" s="24" t="n"/>
      <c r="I193" s="26" t="n"/>
    </row>
    <row r="194">
      <c r="A194" s="24" t="n"/>
      <c r="B194" s="25" t="n"/>
      <c r="C194" s="26" t="n"/>
      <c r="D194" s="26" t="n"/>
      <c r="E194" s="26" t="n"/>
      <c r="F194" s="27" t="n"/>
      <c r="G194" s="26" t="n"/>
      <c r="H194" s="24" t="n"/>
      <c r="I194" s="26" t="n"/>
    </row>
    <row r="195">
      <c r="A195" s="24" t="n"/>
      <c r="B195" s="25" t="n"/>
      <c r="C195" s="26" t="n"/>
      <c r="D195" s="26" t="n"/>
      <c r="E195" s="26" t="n"/>
      <c r="F195" s="27" t="n"/>
      <c r="G195" s="26" t="n"/>
      <c r="H195" s="24" t="n"/>
      <c r="I195" s="26" t="n"/>
    </row>
    <row r="196">
      <c r="A196" s="24" t="n"/>
      <c r="B196" s="25" t="n"/>
      <c r="C196" s="26" t="n"/>
      <c r="D196" s="26" t="n"/>
      <c r="E196" s="26" t="n"/>
      <c r="F196" s="27" t="n"/>
      <c r="G196" s="26" t="n"/>
      <c r="H196" s="24" t="n"/>
      <c r="I196" s="26" t="n"/>
    </row>
    <row r="197">
      <c r="A197" s="24" t="n"/>
      <c r="B197" s="25" t="n"/>
      <c r="C197" s="26" t="n"/>
      <c r="D197" s="26" t="n"/>
      <c r="E197" s="26" t="n"/>
      <c r="F197" s="27" t="n"/>
      <c r="G197" s="26" t="n"/>
      <c r="H197" s="24" t="n"/>
      <c r="I197" s="26" t="n"/>
    </row>
    <row r="198">
      <c r="A198" s="24" t="n"/>
      <c r="B198" s="25" t="n"/>
      <c r="C198" s="26" t="n"/>
      <c r="D198" s="26" t="n"/>
      <c r="E198" s="26" t="n"/>
      <c r="F198" s="27" t="n"/>
      <c r="G198" s="26" t="n"/>
      <c r="H198" s="24" t="n"/>
      <c r="I198" s="26" t="n"/>
    </row>
    <row r="199">
      <c r="A199" s="24" t="n"/>
      <c r="B199" s="25" t="n"/>
      <c r="C199" s="26" t="n"/>
      <c r="D199" s="26" t="n"/>
      <c r="E199" s="26" t="n"/>
      <c r="F199" s="27" t="n"/>
      <c r="G199" s="26" t="n"/>
      <c r="H199" s="24" t="n"/>
      <c r="I199" s="26" t="n"/>
    </row>
    <row r="200">
      <c r="A200" s="24" t="n"/>
      <c r="B200" s="25" t="n"/>
      <c r="C200" s="26" t="n"/>
      <c r="D200" s="26" t="n"/>
      <c r="E200" s="26" t="n"/>
      <c r="F200" s="27" t="n"/>
      <c r="G200" s="26" t="n"/>
      <c r="H200" s="24" t="n"/>
      <c r="I200" s="26" t="n"/>
    </row>
    <row r="201">
      <c r="A201" s="24" t="n"/>
      <c r="B201" s="25" t="n"/>
      <c r="C201" s="26" t="n"/>
      <c r="D201" s="26" t="n"/>
      <c r="E201" s="26" t="n"/>
      <c r="F201" s="27" t="n"/>
      <c r="G201" s="26" t="n"/>
      <c r="H201" s="24" t="n"/>
      <c r="I201" s="26" t="n"/>
    </row>
    <row r="202">
      <c r="A202" s="24" t="n"/>
      <c r="B202" s="25" t="n"/>
      <c r="C202" s="26" t="n"/>
      <c r="D202" s="26" t="n"/>
      <c r="E202" s="26" t="n"/>
      <c r="F202" s="27" t="n"/>
      <c r="G202" s="26" t="n"/>
      <c r="H202" s="24" t="n"/>
      <c r="I202" s="26" t="n"/>
    </row>
    <row r="203">
      <c r="A203" s="24" t="n"/>
      <c r="B203" s="25" t="n"/>
      <c r="C203" s="26" t="n"/>
      <c r="D203" s="26" t="n"/>
      <c r="E203" s="26" t="n"/>
      <c r="F203" s="27" t="n"/>
      <c r="G203" s="26" t="n"/>
      <c r="H203" s="24" t="n"/>
      <c r="I203" s="26" t="n"/>
    </row>
    <row r="204">
      <c r="A204" s="24" t="n"/>
      <c r="B204" s="25" t="n"/>
      <c r="C204" s="26" t="n"/>
      <c r="D204" s="26" t="n"/>
      <c r="E204" s="26" t="n"/>
      <c r="F204" s="27" t="n"/>
      <c r="G204" s="26" t="n"/>
      <c r="H204" s="24" t="n"/>
      <c r="I204" s="26" t="n"/>
    </row>
    <row r="205">
      <c r="A205" s="24" t="n"/>
      <c r="B205" s="25" t="n"/>
      <c r="C205" s="26" t="n"/>
      <c r="D205" s="26" t="n"/>
      <c r="E205" s="26" t="n"/>
      <c r="F205" s="27" t="n"/>
      <c r="G205" s="26" t="n"/>
      <c r="H205" s="24" t="n"/>
      <c r="I205" s="26" t="n"/>
    </row>
    <row r="206">
      <c r="A206" s="24" t="n"/>
      <c r="B206" s="25" t="n"/>
      <c r="C206" s="26" t="n"/>
      <c r="D206" s="26" t="n"/>
      <c r="E206" s="26" t="n"/>
      <c r="F206" s="27" t="n"/>
      <c r="G206" s="26" t="n"/>
      <c r="H206" s="24" t="n"/>
      <c r="I206" s="26" t="n"/>
    </row>
    <row r="207">
      <c r="A207" s="24" t="n"/>
      <c r="B207" s="25" t="n"/>
      <c r="C207" s="26" t="n"/>
      <c r="D207" s="26" t="n"/>
      <c r="E207" s="26" t="n"/>
      <c r="F207" s="27" t="n"/>
      <c r="G207" s="26" t="n"/>
      <c r="H207" s="24" t="n"/>
      <c r="I207" s="26" t="n"/>
    </row>
    <row r="208">
      <c r="A208" s="24" t="n"/>
      <c r="B208" s="25" t="n"/>
      <c r="C208" s="26" t="n"/>
      <c r="D208" s="26" t="n"/>
      <c r="E208" s="26" t="n"/>
      <c r="F208" s="27" t="n"/>
      <c r="G208" s="26" t="n"/>
      <c r="H208" s="24" t="n"/>
      <c r="I208" s="26" t="n"/>
    </row>
    <row r="209">
      <c r="A209" s="24" t="n"/>
      <c r="B209" s="25" t="n"/>
      <c r="C209" s="26" t="n"/>
      <c r="D209" s="26" t="n"/>
      <c r="E209" s="26" t="n"/>
      <c r="F209" s="27" t="n"/>
      <c r="G209" s="26" t="n"/>
      <c r="H209" s="24" t="n"/>
      <c r="I209" s="26" t="n"/>
    </row>
    <row r="210">
      <c r="A210" s="24" t="n"/>
      <c r="B210" s="25" t="n"/>
      <c r="C210" s="26" t="n"/>
      <c r="D210" s="26" t="n"/>
      <c r="E210" s="26" t="n"/>
      <c r="F210" s="27" t="n"/>
      <c r="G210" s="26" t="n"/>
      <c r="H210" s="24" t="n"/>
      <c r="I210" s="26" t="n"/>
    </row>
    <row r="211">
      <c r="A211" s="24" t="n"/>
      <c r="B211" s="25" t="n"/>
      <c r="C211" s="26" t="n"/>
      <c r="D211" s="26" t="n"/>
      <c r="E211" s="26" t="n"/>
      <c r="F211" s="27" t="n"/>
      <c r="G211" s="26" t="n"/>
      <c r="H211" s="24" t="n"/>
      <c r="I211" s="26" t="n"/>
    </row>
    <row r="212">
      <c r="A212" s="24" t="n"/>
      <c r="B212" s="25" t="n"/>
      <c r="C212" s="26" t="n"/>
      <c r="D212" s="26" t="n"/>
      <c r="E212" s="26" t="n"/>
      <c r="F212" s="27" t="n"/>
      <c r="G212" s="26" t="n"/>
      <c r="H212" s="24" t="n"/>
      <c r="I212" s="26" t="n"/>
    </row>
    <row r="213">
      <c r="A213" s="24" t="n"/>
      <c r="B213" s="25" t="n"/>
      <c r="C213" s="26" t="n"/>
      <c r="D213" s="26" t="n"/>
      <c r="E213" s="26" t="n"/>
      <c r="F213" s="27" t="n"/>
      <c r="G213" s="26" t="n"/>
      <c r="H213" s="24" t="n"/>
      <c r="I213" s="26" t="n"/>
    </row>
    <row r="214">
      <c r="A214" s="24" t="n"/>
      <c r="B214" s="25" t="n"/>
      <c r="C214" s="26" t="n"/>
      <c r="D214" s="26" t="n"/>
      <c r="E214" s="26" t="n"/>
      <c r="F214" s="27" t="n"/>
      <c r="G214" s="26" t="n"/>
      <c r="H214" s="24" t="n"/>
      <c r="I214" s="26" t="n"/>
    </row>
    <row r="215">
      <c r="A215" s="24" t="n"/>
      <c r="B215" s="25" t="n"/>
      <c r="C215" s="26" t="n"/>
      <c r="D215" s="26" t="n"/>
      <c r="E215" s="26" t="n"/>
      <c r="F215" s="27" t="n"/>
      <c r="G215" s="26" t="n"/>
      <c r="H215" s="24" t="n"/>
      <c r="I215" s="26" t="n"/>
    </row>
    <row r="216">
      <c r="A216" s="24" t="n"/>
      <c r="B216" s="25" t="n"/>
      <c r="C216" s="26" t="n"/>
      <c r="D216" s="26" t="n"/>
      <c r="E216" s="26" t="n"/>
      <c r="F216" s="27" t="n"/>
      <c r="G216" s="26" t="n"/>
      <c r="H216" s="24" t="n"/>
      <c r="I216" s="26" t="n"/>
    </row>
    <row r="217">
      <c r="A217" s="24" t="n"/>
      <c r="B217" s="25" t="n"/>
      <c r="C217" s="26" t="n"/>
      <c r="D217" s="26" t="n"/>
      <c r="E217" s="26" t="n"/>
      <c r="F217" s="27" t="n"/>
      <c r="G217" s="26" t="n"/>
      <c r="H217" s="24" t="n"/>
      <c r="I217" s="26" t="n"/>
    </row>
    <row r="218">
      <c r="A218" s="24" t="n"/>
      <c r="B218" s="25" t="n"/>
      <c r="C218" s="26" t="n"/>
      <c r="D218" s="26" t="n"/>
      <c r="E218" s="26" t="n"/>
      <c r="F218" s="27" t="n"/>
      <c r="G218" s="26" t="n"/>
      <c r="H218" s="24" t="n"/>
      <c r="I218" s="26" t="n"/>
    </row>
    <row r="219">
      <c r="A219" s="24" t="n"/>
      <c r="B219" s="25" t="n"/>
      <c r="C219" s="26" t="n"/>
      <c r="D219" s="26" t="n"/>
      <c r="E219" s="26" t="n"/>
      <c r="F219" s="27" t="n"/>
      <c r="G219" s="26" t="n"/>
      <c r="H219" s="24" t="n"/>
      <c r="I219" s="26" t="n"/>
    </row>
    <row r="220">
      <c r="A220" s="24" t="n"/>
      <c r="B220" s="25" t="n"/>
      <c r="C220" s="26" t="n"/>
      <c r="D220" s="26" t="n"/>
      <c r="E220" s="26" t="n"/>
      <c r="F220" s="27" t="n"/>
      <c r="G220" s="26" t="n"/>
      <c r="H220" s="24" t="n"/>
      <c r="I220" s="26" t="n"/>
    </row>
    <row r="221">
      <c r="A221" s="24" t="n"/>
      <c r="B221" s="25" t="n"/>
      <c r="C221" s="26" t="n"/>
      <c r="D221" s="26" t="n"/>
      <c r="E221" s="26" t="n"/>
      <c r="F221" s="27" t="n"/>
      <c r="G221" s="26" t="n"/>
      <c r="H221" s="24" t="n"/>
      <c r="I221" s="26" t="n"/>
    </row>
    <row r="222">
      <c r="A222" s="24" t="n"/>
      <c r="B222" s="25" t="n"/>
      <c r="C222" s="26" t="n"/>
      <c r="D222" s="26" t="n"/>
      <c r="E222" s="26" t="n"/>
      <c r="F222" s="27" t="n"/>
      <c r="G222" s="26" t="n"/>
      <c r="H222" s="24" t="n"/>
      <c r="I222" s="26" t="n"/>
    </row>
    <row r="223">
      <c r="A223" s="24" t="n"/>
      <c r="B223" s="25" t="n"/>
      <c r="C223" s="26" t="n"/>
      <c r="D223" s="26" t="n"/>
      <c r="E223" s="26" t="n"/>
      <c r="F223" s="27" t="n"/>
      <c r="G223" s="26" t="n"/>
      <c r="H223" s="24" t="n"/>
      <c r="I223" s="26" t="n"/>
    </row>
    <row r="224">
      <c r="A224" s="24" t="n"/>
      <c r="B224" s="25" t="n"/>
      <c r="C224" s="26" t="n"/>
      <c r="D224" s="26" t="n"/>
      <c r="E224" s="26" t="n"/>
      <c r="F224" s="27" t="n"/>
      <c r="G224" s="26" t="n"/>
      <c r="H224" s="24" t="n"/>
      <c r="I224" s="26" t="n"/>
    </row>
    <row r="225">
      <c r="A225" s="24" t="n"/>
      <c r="B225" s="25" t="n"/>
      <c r="C225" s="26" t="n"/>
      <c r="D225" s="26" t="n"/>
      <c r="E225" s="26" t="n"/>
      <c r="F225" s="27" t="n"/>
      <c r="G225" s="26" t="n"/>
      <c r="H225" s="24" t="n"/>
      <c r="I225" s="26" t="n"/>
    </row>
    <row r="226">
      <c r="A226" s="24" t="n"/>
      <c r="B226" s="25" t="n"/>
      <c r="C226" s="26" t="n"/>
      <c r="D226" s="26" t="n"/>
      <c r="E226" s="26" t="n"/>
      <c r="F226" s="27" t="n"/>
      <c r="G226" s="26" t="n"/>
      <c r="H226" s="24" t="n"/>
      <c r="I226" s="26" t="n"/>
    </row>
    <row r="227">
      <c r="A227" s="24" t="n"/>
      <c r="B227" s="25" t="n"/>
      <c r="C227" s="26" t="n"/>
      <c r="D227" s="26" t="n"/>
      <c r="E227" s="26" t="n"/>
      <c r="F227" s="27" t="n"/>
      <c r="G227" s="26" t="n"/>
      <c r="H227" s="24" t="n"/>
      <c r="I227" s="26" t="n"/>
    </row>
    <row r="228">
      <c r="A228" s="24" t="n"/>
      <c r="B228" s="25" t="n"/>
      <c r="C228" s="26" t="n"/>
      <c r="D228" s="26" t="n"/>
      <c r="E228" s="26" t="n"/>
      <c r="F228" s="27" t="n"/>
      <c r="G228" s="26" t="n"/>
      <c r="H228" s="24" t="n"/>
      <c r="I228" s="26" t="n"/>
    </row>
    <row r="229">
      <c r="A229" s="24" t="n"/>
      <c r="B229" s="25" t="n"/>
      <c r="C229" s="26" t="n"/>
      <c r="D229" s="26" t="n"/>
      <c r="E229" s="26" t="n"/>
      <c r="F229" s="27" t="n"/>
      <c r="G229" s="26" t="n"/>
      <c r="H229" s="24" t="n"/>
      <c r="I229" s="26" t="n"/>
    </row>
    <row r="230">
      <c r="A230" s="24" t="n"/>
      <c r="B230" s="25" t="n"/>
      <c r="C230" s="26" t="n"/>
      <c r="D230" s="26" t="n"/>
      <c r="E230" s="26" t="n"/>
      <c r="F230" s="27" t="n"/>
      <c r="G230" s="26" t="n"/>
      <c r="H230" s="24" t="n"/>
      <c r="I230" s="26" t="n"/>
    </row>
    <row r="231">
      <c r="A231" s="24" t="n"/>
      <c r="B231" s="25" t="n"/>
      <c r="C231" s="26" t="n"/>
      <c r="D231" s="26" t="n"/>
      <c r="E231" s="26" t="n"/>
      <c r="F231" s="27" t="n"/>
      <c r="G231" s="26" t="n"/>
      <c r="H231" s="24" t="n"/>
      <c r="I231" s="26" t="n"/>
    </row>
    <row r="232">
      <c r="A232" s="24" t="n"/>
      <c r="B232" s="25" t="n"/>
      <c r="C232" s="26" t="n"/>
      <c r="D232" s="26" t="n"/>
      <c r="E232" s="26" t="n"/>
      <c r="F232" s="27" t="n"/>
      <c r="G232" s="26" t="n"/>
      <c r="H232" s="24" t="n"/>
      <c r="I232" s="26" t="n"/>
    </row>
    <row r="233">
      <c r="A233" s="24" t="n"/>
      <c r="B233" s="25" t="n"/>
      <c r="C233" s="26" t="n"/>
      <c r="D233" s="26" t="n"/>
      <c r="E233" s="26" t="n"/>
      <c r="F233" s="27" t="n"/>
      <c r="G233" s="26" t="n"/>
      <c r="H233" s="24" t="n"/>
      <c r="I233" s="26" t="n"/>
    </row>
    <row r="234">
      <c r="A234" s="24" t="n"/>
      <c r="B234" s="25" t="n"/>
      <c r="C234" s="26" t="n"/>
      <c r="D234" s="26" t="n"/>
      <c r="E234" s="26" t="n"/>
      <c r="F234" s="27" t="n"/>
      <c r="G234" s="26" t="n"/>
      <c r="H234" s="24" t="n"/>
      <c r="I234" s="26" t="n"/>
    </row>
    <row r="235">
      <c r="A235" s="24" t="n"/>
      <c r="B235" s="25" t="n"/>
      <c r="C235" s="26" t="n"/>
      <c r="D235" s="26" t="n"/>
      <c r="E235" s="26" t="n"/>
      <c r="F235" s="27" t="n"/>
      <c r="G235" s="26" t="n"/>
      <c r="H235" s="24" t="n"/>
      <c r="I235" s="26" t="n"/>
    </row>
    <row r="236">
      <c r="A236" s="24" t="n"/>
      <c r="B236" s="25" t="n"/>
      <c r="C236" s="26" t="n"/>
      <c r="D236" s="26" t="n"/>
      <c r="E236" s="26" t="n"/>
      <c r="F236" s="27" t="n"/>
      <c r="G236" s="26" t="n"/>
      <c r="H236" s="24" t="n"/>
      <c r="I236" s="26" t="n"/>
    </row>
    <row r="237">
      <c r="A237" s="24" t="n"/>
      <c r="B237" s="25" t="n"/>
      <c r="C237" s="26" t="n"/>
      <c r="D237" s="26" t="n"/>
      <c r="E237" s="26" t="n"/>
      <c r="F237" s="27" t="n"/>
      <c r="G237" s="26" t="n"/>
      <c r="H237" s="24" t="n"/>
      <c r="I237" s="26" t="n"/>
    </row>
    <row r="238">
      <c r="A238" s="24" t="n"/>
      <c r="B238" s="25" t="n"/>
      <c r="C238" s="26" t="n"/>
      <c r="D238" s="26" t="n"/>
      <c r="E238" s="26" t="n"/>
      <c r="F238" s="27" t="n"/>
      <c r="G238" s="26" t="n"/>
      <c r="H238" s="24" t="n"/>
      <c r="I238" s="26" t="n"/>
    </row>
    <row r="239">
      <c r="A239" s="24" t="n"/>
      <c r="B239" s="25" t="n"/>
      <c r="C239" s="26" t="n"/>
      <c r="D239" s="26" t="n"/>
      <c r="E239" s="26" t="n"/>
      <c r="F239" s="27" t="n"/>
      <c r="G239" s="26" t="n"/>
      <c r="H239" s="24" t="n"/>
      <c r="I239" s="26" t="n"/>
    </row>
    <row r="240">
      <c r="A240" s="24" t="n"/>
      <c r="B240" s="25" t="n"/>
      <c r="C240" s="26" t="n"/>
      <c r="D240" s="26" t="n"/>
      <c r="E240" s="26" t="n"/>
      <c r="F240" s="27" t="n"/>
      <c r="G240" s="26" t="n"/>
      <c r="H240" s="24" t="n"/>
      <c r="I240" s="26" t="n"/>
    </row>
    <row r="241">
      <c r="A241" s="24" t="n"/>
      <c r="B241" s="25" t="n"/>
      <c r="C241" s="26" t="n"/>
      <c r="D241" s="26" t="n"/>
      <c r="E241" s="26" t="n"/>
      <c r="F241" s="27" t="n"/>
      <c r="G241" s="26" t="n"/>
      <c r="H241" s="24" t="n"/>
      <c r="I241" s="26" t="n"/>
    </row>
    <row r="242">
      <c r="A242" s="24" t="n"/>
      <c r="B242" s="25" t="n"/>
      <c r="C242" s="26" t="n"/>
      <c r="D242" s="26" t="n"/>
      <c r="E242" s="26" t="n"/>
      <c r="F242" s="27" t="n"/>
      <c r="G242" s="26" t="n"/>
      <c r="H242" s="24" t="n"/>
      <c r="I242" s="26" t="n"/>
    </row>
    <row r="243">
      <c r="A243" s="24" t="n"/>
      <c r="B243" s="25" t="n"/>
      <c r="C243" s="26" t="n"/>
      <c r="D243" s="26" t="n"/>
      <c r="E243" s="26" t="n"/>
      <c r="F243" s="27" t="n"/>
      <c r="G243" s="26" t="n"/>
      <c r="H243" s="24" t="n"/>
      <c r="I243" s="26" t="n"/>
    </row>
    <row r="244">
      <c r="A244" s="24" t="n"/>
      <c r="B244" s="25" t="n"/>
      <c r="C244" s="26" t="n"/>
      <c r="D244" s="26" t="n"/>
      <c r="E244" s="26" t="n"/>
      <c r="F244" s="27" t="n"/>
      <c r="G244" s="26" t="n"/>
      <c r="H244" s="24" t="n"/>
      <c r="I244" s="26" t="n"/>
    </row>
    <row r="245">
      <c r="A245" s="24" t="n"/>
      <c r="B245" s="25" t="n"/>
      <c r="C245" s="26" t="n"/>
      <c r="D245" s="26" t="n"/>
      <c r="E245" s="26" t="n"/>
      <c r="F245" s="27" t="n"/>
      <c r="G245" s="26" t="n"/>
      <c r="H245" s="24" t="n"/>
      <c r="I245" s="26" t="n"/>
    </row>
    <row r="246">
      <c r="A246" s="24" t="n"/>
      <c r="B246" s="25" t="n"/>
      <c r="C246" s="26" t="n"/>
      <c r="D246" s="26" t="n"/>
      <c r="E246" s="26" t="n"/>
      <c r="F246" s="27" t="n"/>
      <c r="G246" s="26" t="n"/>
      <c r="H246" s="24" t="n"/>
      <c r="I246" s="26" t="n"/>
    </row>
    <row r="247">
      <c r="A247" s="24" t="n"/>
      <c r="B247" s="25" t="n"/>
      <c r="C247" s="26" t="n"/>
      <c r="D247" s="26" t="n"/>
      <c r="E247" s="26" t="n"/>
      <c r="F247" s="27" t="n"/>
      <c r="G247" s="26" t="n"/>
      <c r="H247" s="24" t="n"/>
      <c r="I247" s="26" t="n"/>
    </row>
    <row r="248">
      <c r="A248" s="24" t="n"/>
      <c r="B248" s="25" t="n"/>
      <c r="C248" s="26" t="n"/>
      <c r="D248" s="26" t="n"/>
      <c r="E248" s="26" t="n"/>
      <c r="F248" s="27" t="n"/>
      <c r="G248" s="26" t="n"/>
      <c r="H248" s="24" t="n"/>
      <c r="I248" s="26" t="n"/>
    </row>
    <row r="249">
      <c r="A249" s="24" t="n"/>
      <c r="B249" s="25" t="n"/>
      <c r="C249" s="26" t="n"/>
      <c r="D249" s="26" t="n"/>
      <c r="E249" s="26" t="n"/>
      <c r="F249" s="27" t="n"/>
      <c r="G249" s="26" t="n"/>
      <c r="H249" s="24" t="n"/>
      <c r="I249" s="26" t="n"/>
    </row>
    <row r="250">
      <c r="A250" s="24" t="n"/>
      <c r="B250" s="25" t="n"/>
      <c r="C250" s="26" t="n"/>
      <c r="D250" s="26" t="n"/>
      <c r="E250" s="26" t="n"/>
      <c r="F250" s="27" t="n"/>
      <c r="G250" s="26" t="n"/>
      <c r="H250" s="24" t="n"/>
      <c r="I250" s="26" t="n"/>
    </row>
    <row r="251">
      <c r="A251" s="24" t="n"/>
      <c r="B251" s="25" t="n"/>
      <c r="C251" s="26" t="n"/>
      <c r="D251" s="26" t="n"/>
      <c r="E251" s="26" t="n"/>
      <c r="F251" s="27" t="n"/>
      <c r="G251" s="26" t="n"/>
      <c r="H251" s="24" t="n"/>
      <c r="I251" s="26" t="n"/>
    </row>
    <row r="252">
      <c r="A252" s="24" t="n"/>
      <c r="B252" s="25" t="n"/>
      <c r="C252" s="26" t="n"/>
      <c r="D252" s="26" t="n"/>
      <c r="E252" s="26" t="n"/>
      <c r="F252" s="27" t="n"/>
      <c r="G252" s="26" t="n"/>
      <c r="H252" s="24" t="n"/>
      <c r="I252" s="26" t="n"/>
    </row>
    <row r="253">
      <c r="A253" s="24" t="n"/>
      <c r="B253" s="25" t="n"/>
      <c r="C253" s="26" t="n"/>
      <c r="D253" s="26" t="n"/>
      <c r="E253" s="26" t="n"/>
      <c r="F253" s="27" t="n"/>
      <c r="G253" s="26" t="n"/>
      <c r="H253" s="24" t="n"/>
      <c r="I253" s="26" t="n"/>
    </row>
    <row r="254">
      <c r="A254" s="24" t="n"/>
      <c r="B254" s="25" t="n"/>
      <c r="C254" s="26" t="n"/>
      <c r="D254" s="26" t="n"/>
      <c r="E254" s="26" t="n"/>
      <c r="F254" s="27" t="n"/>
      <c r="G254" s="26" t="n"/>
      <c r="H254" s="24" t="n"/>
      <c r="I254" s="26" t="n"/>
    </row>
    <row r="255">
      <c r="A255" s="24" t="n"/>
      <c r="B255" s="25" t="n"/>
      <c r="C255" s="26" t="n"/>
      <c r="D255" s="26" t="n"/>
      <c r="E255" s="26" t="n"/>
      <c r="F255" s="27" t="n"/>
      <c r="G255" s="26" t="n"/>
      <c r="H255" s="24" t="n"/>
      <c r="I255" s="26" t="n"/>
    </row>
    <row r="256">
      <c r="A256" s="24" t="n"/>
      <c r="B256" s="25" t="n"/>
      <c r="C256" s="26" t="n"/>
      <c r="D256" s="26" t="n"/>
      <c r="E256" s="26" t="n"/>
      <c r="F256" s="27" t="n"/>
      <c r="G256" s="26" t="n"/>
      <c r="H256" s="24" t="n"/>
      <c r="I256" s="26" t="n"/>
    </row>
    <row r="257">
      <c r="A257" s="24" t="n"/>
      <c r="B257" s="25" t="n"/>
      <c r="C257" s="26" t="n"/>
      <c r="D257" s="26" t="n"/>
      <c r="E257" s="26" t="n"/>
      <c r="F257" s="27" t="n"/>
      <c r="G257" s="26" t="n"/>
      <c r="H257" s="24" t="n"/>
      <c r="I257" s="26" t="n"/>
    </row>
    <row r="258">
      <c r="A258" s="24" t="n"/>
      <c r="B258" s="25" t="n"/>
      <c r="C258" s="26" t="n"/>
      <c r="D258" s="26" t="n"/>
      <c r="E258" s="26" t="n"/>
      <c r="F258" s="27" t="n"/>
      <c r="G258" s="26" t="n"/>
      <c r="H258" s="24" t="n"/>
      <c r="I258" s="26" t="n"/>
    </row>
    <row r="259">
      <c r="A259" s="24" t="n"/>
      <c r="B259" s="25" t="n"/>
      <c r="C259" s="26" t="n"/>
      <c r="D259" s="26" t="n"/>
      <c r="E259" s="26" t="n"/>
      <c r="F259" s="27" t="n"/>
      <c r="G259" s="26" t="n"/>
      <c r="H259" s="24" t="n"/>
      <c r="I259" s="26" t="n"/>
    </row>
    <row r="260">
      <c r="A260" s="24" t="n"/>
      <c r="B260" s="25" t="n"/>
      <c r="C260" s="26" t="n"/>
      <c r="D260" s="26" t="n"/>
      <c r="E260" s="26" t="n"/>
      <c r="F260" s="27" t="n"/>
      <c r="G260" s="26" t="n"/>
      <c r="H260" s="24" t="n"/>
      <c r="I260" s="26" t="n"/>
    </row>
    <row r="261">
      <c r="A261" s="24" t="n"/>
      <c r="B261" s="25" t="n"/>
      <c r="C261" s="26" t="n"/>
      <c r="D261" s="26" t="n"/>
      <c r="E261" s="26" t="n"/>
      <c r="F261" s="27" t="n"/>
      <c r="G261" s="26" t="n"/>
      <c r="H261" s="24" t="n"/>
      <c r="I261" s="26" t="n"/>
    </row>
    <row r="262">
      <c r="A262" s="24" t="n"/>
      <c r="B262" s="25" t="n"/>
      <c r="C262" s="26" t="n"/>
      <c r="D262" s="26" t="n"/>
      <c r="E262" s="26" t="n"/>
      <c r="F262" s="27" t="n"/>
      <c r="G262" s="26" t="n"/>
      <c r="H262" s="24" t="n"/>
      <c r="I262" s="26" t="n"/>
    </row>
    <row r="263">
      <c r="A263" s="24" t="n"/>
      <c r="B263" s="25" t="n"/>
      <c r="C263" s="26" t="n"/>
      <c r="D263" s="26" t="n"/>
      <c r="E263" s="26" t="n"/>
      <c r="F263" s="27" t="n"/>
      <c r="G263" s="26" t="n"/>
      <c r="H263" s="24" t="n"/>
      <c r="I263" s="26" t="n"/>
    </row>
    <row r="264">
      <c r="A264" s="24" t="n"/>
      <c r="B264" s="25" t="n"/>
      <c r="C264" s="26" t="n"/>
      <c r="D264" s="26" t="n"/>
      <c r="E264" s="26" t="n"/>
      <c r="F264" s="27" t="n"/>
      <c r="G264" s="26" t="n"/>
      <c r="H264" s="24" t="n"/>
      <c r="I264" s="26" t="n"/>
    </row>
    <row r="265">
      <c r="A265" s="24" t="n"/>
      <c r="B265" s="25" t="n"/>
      <c r="C265" s="26" t="n"/>
      <c r="D265" s="26" t="n"/>
      <c r="E265" s="26" t="n"/>
      <c r="F265" s="27" t="n"/>
      <c r="G265" s="26" t="n"/>
      <c r="H265" s="24" t="n"/>
      <c r="I265" s="26" t="n"/>
    </row>
    <row r="266">
      <c r="A266" s="24" t="n"/>
      <c r="B266" s="25" t="n"/>
      <c r="C266" s="26" t="n"/>
      <c r="D266" s="26" t="n"/>
      <c r="E266" s="26" t="n"/>
      <c r="F266" s="27" t="n"/>
      <c r="G266" s="26" t="n"/>
      <c r="H266" s="24" t="n"/>
      <c r="I266" s="26" t="n"/>
    </row>
    <row r="267">
      <c r="A267" s="24" t="n"/>
      <c r="B267" s="25" t="n"/>
      <c r="C267" s="26" t="n"/>
      <c r="D267" s="26" t="n"/>
      <c r="E267" s="26" t="n"/>
      <c r="F267" s="27" t="n"/>
      <c r="G267" s="26" t="n"/>
      <c r="H267" s="24" t="n"/>
      <c r="I267" s="26" t="n"/>
    </row>
    <row r="268">
      <c r="A268" s="24" t="n"/>
      <c r="B268" s="25" t="n"/>
      <c r="C268" s="26" t="n"/>
      <c r="D268" s="26" t="n"/>
      <c r="E268" s="26" t="n"/>
      <c r="F268" s="27" t="n"/>
      <c r="G268" s="26" t="n"/>
      <c r="H268" s="24" t="n"/>
      <c r="I268" s="26" t="n"/>
    </row>
    <row r="269">
      <c r="A269" s="24" t="n"/>
      <c r="B269" s="25" t="n"/>
      <c r="C269" s="26" t="n"/>
      <c r="D269" s="26" t="n"/>
      <c r="E269" s="26" t="n"/>
      <c r="F269" s="27" t="n"/>
      <c r="G269" s="26" t="n"/>
      <c r="H269" s="24" t="n"/>
      <c r="I269" s="26" t="n"/>
    </row>
    <row r="270">
      <c r="A270" s="24" t="n"/>
      <c r="B270" s="25" t="n"/>
      <c r="C270" s="26" t="n"/>
      <c r="D270" s="26" t="n"/>
      <c r="E270" s="26" t="n"/>
      <c r="F270" s="27" t="n"/>
      <c r="G270" s="26" t="n"/>
      <c r="H270" s="24" t="n"/>
      <c r="I270" s="26" t="n"/>
    </row>
    <row r="271">
      <c r="A271" s="24" t="n"/>
      <c r="B271" s="25" t="n"/>
      <c r="C271" s="26" t="n"/>
      <c r="D271" s="26" t="n"/>
      <c r="E271" s="26" t="n"/>
      <c r="F271" s="27" t="n"/>
      <c r="G271" s="26" t="n"/>
      <c r="H271" s="24" t="n"/>
      <c r="I271" s="26" t="n"/>
    </row>
    <row r="272">
      <c r="A272" s="24" t="n"/>
      <c r="B272" s="25" t="n"/>
      <c r="C272" s="26" t="n"/>
      <c r="D272" s="26" t="n"/>
      <c r="E272" s="26" t="n"/>
      <c r="F272" s="27" t="n"/>
      <c r="G272" s="26" t="n"/>
      <c r="H272" s="24" t="n"/>
      <c r="I272" s="26" t="n"/>
    </row>
    <row r="273">
      <c r="A273" s="24" t="n"/>
      <c r="B273" s="25" t="n"/>
      <c r="C273" s="26" t="n"/>
      <c r="D273" s="26" t="n"/>
      <c r="E273" s="26" t="n"/>
      <c r="F273" s="27" t="n"/>
      <c r="G273" s="26" t="n"/>
      <c r="H273" s="24" t="n"/>
      <c r="I273" s="26" t="n"/>
    </row>
    <row r="274">
      <c r="A274" s="24" t="n"/>
      <c r="B274" s="25" t="n"/>
      <c r="C274" s="26" t="n"/>
      <c r="D274" s="26" t="n"/>
      <c r="E274" s="26" t="n"/>
      <c r="F274" s="27" t="n"/>
      <c r="G274" s="26" t="n"/>
      <c r="H274" s="24" t="n"/>
      <c r="I274" s="26" t="n"/>
    </row>
    <row r="275">
      <c r="A275" s="24" t="n"/>
      <c r="B275" s="25" t="n"/>
      <c r="C275" s="26" t="n"/>
      <c r="D275" s="26" t="n"/>
      <c r="E275" s="26" t="n"/>
      <c r="F275" s="27" t="n"/>
      <c r="G275" s="26" t="n"/>
      <c r="H275" s="24" t="n"/>
      <c r="I275" s="26" t="n"/>
    </row>
    <row r="276">
      <c r="A276" s="24" t="n"/>
      <c r="B276" s="25" t="n"/>
      <c r="C276" s="26" t="n"/>
      <c r="D276" s="26" t="n"/>
      <c r="E276" s="26" t="n"/>
      <c r="F276" s="27" t="n"/>
      <c r="G276" s="26" t="n"/>
      <c r="H276" s="24" t="n"/>
      <c r="I276" s="26" t="n"/>
    </row>
    <row r="277">
      <c r="A277" s="24" t="n"/>
      <c r="B277" s="25" t="n"/>
      <c r="C277" s="26" t="n"/>
      <c r="D277" s="26" t="n"/>
      <c r="E277" s="26" t="n"/>
      <c r="F277" s="27" t="n"/>
      <c r="G277" s="26" t="n"/>
      <c r="H277" s="24" t="n"/>
      <c r="I277" s="26" t="n"/>
    </row>
    <row r="278">
      <c r="A278" s="24" t="n"/>
      <c r="B278" s="25" t="n"/>
      <c r="C278" s="26" t="n"/>
      <c r="D278" s="26" t="n"/>
      <c r="E278" s="26" t="n"/>
      <c r="F278" s="27" t="n"/>
      <c r="G278" s="26" t="n"/>
      <c r="H278" s="24" t="n"/>
      <c r="I278" s="26" t="n"/>
    </row>
    <row r="279">
      <c r="A279" s="24" t="n"/>
      <c r="B279" s="25" t="n"/>
      <c r="C279" s="26" t="n"/>
      <c r="D279" s="26" t="n"/>
      <c r="E279" s="26" t="n"/>
      <c r="F279" s="27" t="n"/>
      <c r="G279" s="26" t="n"/>
      <c r="H279" s="24" t="n"/>
      <c r="I279" s="26" t="n"/>
    </row>
    <row r="280">
      <c r="A280" s="24" t="n"/>
      <c r="B280" s="25" t="n"/>
      <c r="C280" s="26" t="n"/>
      <c r="D280" s="26" t="n"/>
      <c r="E280" s="26" t="n"/>
      <c r="F280" s="27" t="n"/>
      <c r="G280" s="26" t="n"/>
      <c r="H280" s="24" t="n"/>
      <c r="I280" s="26" t="n"/>
    </row>
    <row r="281">
      <c r="A281" s="24" t="n"/>
      <c r="B281" s="25" t="n"/>
      <c r="C281" s="26" t="n"/>
      <c r="D281" s="26" t="n"/>
      <c r="E281" s="26" t="n"/>
      <c r="F281" s="27" t="n"/>
      <c r="G281" s="26" t="n"/>
      <c r="H281" s="24" t="n"/>
      <c r="I281" s="26" t="n"/>
    </row>
    <row r="282">
      <c r="A282" s="24" t="n"/>
      <c r="B282" s="25" t="n"/>
      <c r="C282" s="26" t="n"/>
      <c r="D282" s="26" t="n"/>
      <c r="E282" s="26" t="n"/>
      <c r="F282" s="27" t="n"/>
      <c r="G282" s="26" t="n"/>
      <c r="H282" s="24" t="n"/>
      <c r="I282" s="26" t="n"/>
    </row>
    <row r="283">
      <c r="A283" s="24" t="n"/>
      <c r="B283" s="25" t="n"/>
      <c r="C283" s="26" t="n"/>
      <c r="D283" s="26" t="n"/>
      <c r="E283" s="26" t="n"/>
      <c r="F283" s="27" t="n"/>
      <c r="G283" s="26" t="n"/>
      <c r="H283" s="24" t="n"/>
      <c r="I283" s="26" t="n"/>
    </row>
    <row r="284">
      <c r="A284" s="24" t="n"/>
      <c r="B284" s="25" t="n"/>
      <c r="C284" s="26" t="n"/>
      <c r="D284" s="26" t="n"/>
      <c r="E284" s="26" t="n"/>
      <c r="F284" s="27" t="n"/>
      <c r="G284" s="26" t="n"/>
      <c r="H284" s="24" t="n"/>
      <c r="I284" s="26" t="n"/>
    </row>
    <row r="285">
      <c r="A285" s="24" t="n"/>
      <c r="B285" s="25" t="n"/>
      <c r="C285" s="26" t="n"/>
      <c r="D285" s="26" t="n"/>
      <c r="E285" s="26" t="n"/>
      <c r="F285" s="27" t="n"/>
      <c r="G285" s="26" t="n"/>
      <c r="H285" s="24" t="n"/>
      <c r="I285" s="26" t="n"/>
    </row>
    <row r="286">
      <c r="A286" s="24" t="n"/>
      <c r="B286" s="25" t="n"/>
      <c r="C286" s="26" t="n"/>
      <c r="D286" s="26" t="n"/>
      <c r="E286" s="26" t="n"/>
      <c r="F286" s="27" t="n"/>
      <c r="G286" s="26" t="n"/>
      <c r="H286" s="24" t="n"/>
      <c r="I286" s="26" t="n"/>
    </row>
    <row r="287">
      <c r="A287" s="24" t="n"/>
      <c r="B287" s="25" t="n"/>
      <c r="C287" s="26" t="n"/>
      <c r="D287" s="26" t="n"/>
      <c r="E287" s="26" t="n"/>
      <c r="F287" s="27" t="n"/>
      <c r="G287" s="26" t="n"/>
      <c r="H287" s="24" t="n"/>
      <c r="I287" s="26" t="n"/>
    </row>
    <row r="288">
      <c r="A288" s="24" t="n"/>
      <c r="B288" s="25" t="n"/>
      <c r="C288" s="26" t="n"/>
      <c r="D288" s="26" t="n"/>
      <c r="E288" s="26" t="n"/>
      <c r="F288" s="27" t="n"/>
      <c r="G288" s="26" t="n"/>
      <c r="H288" s="24" t="n"/>
      <c r="I288" s="26" t="n"/>
    </row>
    <row r="289">
      <c r="A289" s="24" t="n"/>
      <c r="B289" s="25" t="n"/>
      <c r="C289" s="26" t="n"/>
      <c r="D289" s="26" t="n"/>
      <c r="E289" s="26" t="n"/>
      <c r="F289" s="27" t="n"/>
      <c r="G289" s="26" t="n"/>
      <c r="H289" s="24" t="n"/>
      <c r="I289" s="26" t="n"/>
    </row>
    <row r="290">
      <c r="A290" s="24" t="n"/>
      <c r="B290" s="25" t="n"/>
      <c r="C290" s="26" t="n"/>
      <c r="D290" s="26" t="n"/>
      <c r="E290" s="26" t="n"/>
      <c r="F290" s="27" t="n"/>
      <c r="G290" s="26" t="n"/>
      <c r="H290" s="24" t="n"/>
      <c r="I290" s="26" t="n"/>
    </row>
    <row r="291">
      <c r="A291" s="24" t="n"/>
      <c r="B291" s="25" t="n"/>
      <c r="C291" s="26" t="n"/>
      <c r="D291" s="26" t="n"/>
      <c r="E291" s="26" t="n"/>
      <c r="F291" s="27" t="n"/>
      <c r="G291" s="26" t="n"/>
      <c r="H291" s="24" t="n"/>
      <c r="I291" s="26" t="n"/>
    </row>
    <row r="292">
      <c r="A292" s="24" t="n"/>
      <c r="B292" s="25" t="n"/>
      <c r="C292" s="26" t="n"/>
      <c r="D292" s="26" t="n"/>
      <c r="E292" s="26" t="n"/>
      <c r="F292" s="27" t="n"/>
      <c r="G292" s="26" t="n"/>
      <c r="H292" s="24" t="n"/>
      <c r="I292" s="26" t="n"/>
    </row>
    <row r="293">
      <c r="A293" s="24" t="n"/>
      <c r="B293" s="25" t="n"/>
      <c r="C293" s="26" t="n"/>
      <c r="D293" s="26" t="n"/>
      <c r="E293" s="26" t="n"/>
      <c r="F293" s="27" t="n"/>
      <c r="G293" s="26" t="n"/>
      <c r="H293" s="24" t="n"/>
      <c r="I293" s="26" t="n"/>
    </row>
    <row r="294">
      <c r="A294" s="24" t="n"/>
      <c r="B294" s="25" t="n"/>
      <c r="C294" s="26" t="n"/>
      <c r="D294" s="26" t="n"/>
      <c r="E294" s="26" t="n"/>
      <c r="F294" s="27" t="n"/>
      <c r="G294" s="26" t="n"/>
      <c r="H294" s="24" t="n"/>
      <c r="I294" s="26" t="n"/>
    </row>
    <row r="295">
      <c r="A295" s="24" t="n"/>
      <c r="B295" s="25" t="n"/>
      <c r="C295" s="26" t="n"/>
      <c r="D295" s="26" t="n"/>
      <c r="E295" s="26" t="n"/>
      <c r="F295" s="27" t="n"/>
      <c r="G295" s="26" t="n"/>
      <c r="H295" s="24" t="n"/>
      <c r="I295" s="26" t="n"/>
    </row>
    <row r="296">
      <c r="A296" s="24" t="n"/>
      <c r="B296" s="25" t="n"/>
      <c r="C296" s="26" t="n"/>
      <c r="D296" s="26" t="n"/>
      <c r="E296" s="26" t="n"/>
      <c r="F296" s="27" t="n"/>
      <c r="G296" s="26" t="n"/>
      <c r="H296" s="24" t="n"/>
      <c r="I296" s="26" t="n"/>
    </row>
    <row r="297">
      <c r="A297" s="24" t="n"/>
      <c r="B297" s="25" t="n"/>
      <c r="C297" s="26" t="n"/>
      <c r="D297" s="26" t="n"/>
      <c r="E297" s="26" t="n"/>
      <c r="F297" s="27" t="n"/>
      <c r="G297" s="26" t="n"/>
      <c r="H297" s="24" t="n"/>
      <c r="I297" s="26" t="n"/>
    </row>
    <row r="298">
      <c r="A298" s="24" t="n"/>
      <c r="B298" s="25" t="n"/>
      <c r="C298" s="26" t="n"/>
      <c r="D298" s="26" t="n"/>
      <c r="E298" s="26" t="n"/>
      <c r="F298" s="27" t="n"/>
      <c r="G298" s="26" t="n"/>
      <c r="H298" s="24" t="n"/>
      <c r="I298" s="26" t="n"/>
    </row>
    <row r="299">
      <c r="A299" s="24" t="n"/>
      <c r="B299" s="25" t="n"/>
      <c r="C299" s="26" t="n"/>
      <c r="D299" s="26" t="n"/>
      <c r="E299" s="26" t="n"/>
      <c r="F299" s="27" t="n"/>
      <c r="G299" s="26" t="n"/>
      <c r="H299" s="24" t="n"/>
      <c r="I299" s="26" t="n"/>
    </row>
    <row r="300">
      <c r="A300" s="24" t="n"/>
      <c r="B300" s="25" t="n"/>
      <c r="C300" s="26" t="n"/>
      <c r="D300" s="26" t="n"/>
      <c r="E300" s="26" t="n"/>
      <c r="F300" s="27" t="n"/>
      <c r="G300" s="26" t="n"/>
      <c r="H300" s="24" t="n"/>
      <c r="I300" s="26" t="n"/>
    </row>
    <row r="301">
      <c r="A301" s="24" t="n"/>
      <c r="B301" s="25" t="n"/>
      <c r="C301" s="26" t="n"/>
      <c r="D301" s="26" t="n"/>
      <c r="E301" s="26" t="n"/>
      <c r="F301" s="27" t="n"/>
      <c r="G301" s="26" t="n"/>
      <c r="H301" s="24" t="n"/>
      <c r="I301" s="26" t="n"/>
    </row>
    <row r="302">
      <c r="A302" s="24" t="n"/>
      <c r="B302" s="25" t="n"/>
      <c r="C302" s="26" t="n"/>
      <c r="D302" s="26" t="n"/>
      <c r="E302" s="26" t="n"/>
      <c r="F302" s="27" t="n"/>
      <c r="G302" s="26" t="n"/>
      <c r="H302" s="24" t="n"/>
      <c r="I302" s="26" t="n"/>
    </row>
    <row r="303">
      <c r="A303" s="24" t="n"/>
      <c r="B303" s="25" t="n"/>
      <c r="C303" s="26" t="n"/>
      <c r="D303" s="26" t="n"/>
      <c r="E303" s="26" t="n"/>
      <c r="F303" s="27" t="n"/>
      <c r="G303" s="26" t="n"/>
      <c r="H303" s="24" t="n"/>
      <c r="I303" s="26" t="n"/>
    </row>
    <row r="304">
      <c r="A304" s="24" t="n"/>
      <c r="B304" s="25" t="n"/>
      <c r="C304" s="26" t="n"/>
      <c r="D304" s="26" t="n"/>
      <c r="E304" s="26" t="n"/>
      <c r="F304" s="27" t="n"/>
      <c r="G304" s="26" t="n"/>
      <c r="H304" s="24" t="n"/>
      <c r="I304" s="26" t="n"/>
    </row>
    <row r="305">
      <c r="A305" s="24" t="n"/>
      <c r="B305" s="25" t="n"/>
      <c r="C305" s="26" t="n"/>
      <c r="D305" s="26" t="n"/>
      <c r="E305" s="26" t="n"/>
      <c r="F305" s="27" t="n"/>
      <c r="G305" s="26" t="n"/>
      <c r="H305" s="24" t="n"/>
      <c r="I305" s="26" t="n"/>
    </row>
    <row r="306">
      <c r="A306" s="24" t="n"/>
      <c r="B306" s="25" t="n"/>
      <c r="C306" s="26" t="n"/>
      <c r="D306" s="26" t="n"/>
      <c r="E306" s="26" t="n"/>
      <c r="F306" s="27" t="n"/>
      <c r="G306" s="26" t="n"/>
      <c r="H306" s="24" t="n"/>
      <c r="I306" s="26" t="n"/>
    </row>
    <row r="307">
      <c r="A307" s="24" t="n"/>
      <c r="B307" s="25" t="n"/>
      <c r="C307" s="26" t="n"/>
      <c r="D307" s="26" t="n"/>
      <c r="E307" s="26" t="n"/>
      <c r="F307" s="27" t="n"/>
      <c r="G307" s="26" t="n"/>
      <c r="H307" s="24" t="n"/>
      <c r="I307" s="26" t="n"/>
    </row>
    <row r="308">
      <c r="A308" s="24" t="n"/>
      <c r="B308" s="25" t="n"/>
      <c r="C308" s="26" t="n"/>
      <c r="D308" s="26" t="n"/>
      <c r="E308" s="26" t="n"/>
      <c r="F308" s="27" t="n"/>
      <c r="G308" s="26" t="n"/>
      <c r="H308" s="24" t="n"/>
      <c r="I308" s="26" t="n"/>
    </row>
    <row r="309">
      <c r="A309" s="24" t="n"/>
      <c r="B309" s="25" t="n"/>
      <c r="C309" s="26" t="n"/>
      <c r="D309" s="26" t="n"/>
      <c r="E309" s="26" t="n"/>
      <c r="F309" s="27" t="n"/>
      <c r="G309" s="26" t="n"/>
      <c r="H309" s="24" t="n"/>
      <c r="I309" s="26" t="n"/>
    </row>
    <row r="310">
      <c r="A310" s="24" t="n"/>
      <c r="B310" s="25" t="n"/>
      <c r="C310" s="26" t="n"/>
      <c r="D310" s="26" t="n"/>
      <c r="E310" s="26" t="n"/>
      <c r="F310" s="27" t="n"/>
      <c r="G310" s="26" t="n"/>
      <c r="H310" s="24" t="n"/>
      <c r="I310" s="26" t="n"/>
    </row>
    <row r="311">
      <c r="A311" s="24" t="n"/>
      <c r="B311" s="25" t="n"/>
      <c r="C311" s="26" t="n"/>
      <c r="D311" s="26" t="n"/>
      <c r="E311" s="26" t="n"/>
      <c r="F311" s="27" t="n"/>
      <c r="G311" s="26" t="n"/>
      <c r="H311" s="24" t="n"/>
      <c r="I311" s="26" t="n"/>
    </row>
    <row r="312">
      <c r="A312" s="24" t="n"/>
      <c r="B312" s="25" t="n"/>
      <c r="C312" s="26" t="n"/>
      <c r="D312" s="26" t="n"/>
      <c r="E312" s="26" t="n"/>
      <c r="F312" s="27" t="n"/>
      <c r="G312" s="26" t="n"/>
      <c r="H312" s="24" t="n"/>
      <c r="I312" s="26" t="n"/>
    </row>
    <row r="313">
      <c r="A313" s="24" t="n"/>
      <c r="B313" s="25" t="n"/>
      <c r="C313" s="26" t="n"/>
      <c r="D313" s="26" t="n"/>
      <c r="E313" s="26" t="n"/>
      <c r="F313" s="27" t="n"/>
      <c r="G313" s="26" t="n"/>
      <c r="H313" s="24" t="n"/>
      <c r="I313" s="26" t="n"/>
    </row>
    <row r="314">
      <c r="A314" s="24" t="n"/>
      <c r="B314" s="25" t="n"/>
      <c r="C314" s="26" t="n"/>
      <c r="D314" s="26" t="n"/>
      <c r="E314" s="26" t="n"/>
      <c r="F314" s="27" t="n"/>
      <c r="G314" s="26" t="n"/>
      <c r="H314" s="24" t="n"/>
      <c r="I314" s="26" t="n"/>
    </row>
    <row r="315">
      <c r="A315" s="24" t="n"/>
      <c r="B315" s="25" t="n"/>
      <c r="C315" s="26" t="n"/>
      <c r="D315" s="26" t="n"/>
      <c r="E315" s="26" t="n"/>
      <c r="F315" s="27" t="n"/>
      <c r="G315" s="26" t="n"/>
      <c r="H315" s="24" t="n"/>
      <c r="I315" s="26" t="n"/>
    </row>
    <row r="316">
      <c r="A316" s="24" t="n"/>
      <c r="B316" s="25" t="n"/>
      <c r="C316" s="26" t="n"/>
      <c r="D316" s="26" t="n"/>
      <c r="E316" s="26" t="n"/>
      <c r="F316" s="27" t="n"/>
      <c r="G316" s="26" t="n"/>
      <c r="H316" s="24" t="n"/>
      <c r="I316" s="26" t="n"/>
    </row>
    <row r="317">
      <c r="A317" s="24" t="n"/>
      <c r="B317" s="25" t="n"/>
      <c r="C317" s="26" t="n"/>
      <c r="D317" s="26" t="n"/>
      <c r="E317" s="26" t="n"/>
      <c r="F317" s="27" t="n"/>
      <c r="G317" s="26" t="n"/>
      <c r="H317" s="24" t="n"/>
      <c r="I317" s="26" t="n"/>
    </row>
    <row r="318">
      <c r="A318" s="24" t="n"/>
      <c r="B318" s="25" t="n"/>
      <c r="C318" s="26" t="n"/>
      <c r="D318" s="26" t="n"/>
      <c r="E318" s="26" t="n"/>
      <c r="F318" s="27" t="n"/>
      <c r="G318" s="26" t="n"/>
      <c r="H318" s="24" t="n"/>
      <c r="I318" s="26" t="n"/>
    </row>
    <row r="319">
      <c r="A319" s="24" t="n"/>
      <c r="B319" s="25" t="n"/>
      <c r="C319" s="26" t="n"/>
      <c r="D319" s="26" t="n"/>
      <c r="E319" s="26" t="n"/>
      <c r="F319" s="27" t="n"/>
      <c r="G319" s="26" t="n"/>
      <c r="H319" s="24" t="n"/>
      <c r="I319" s="26" t="n"/>
    </row>
    <row r="320">
      <c r="A320" s="24" t="n"/>
      <c r="B320" s="25" t="n"/>
      <c r="C320" s="26" t="n"/>
      <c r="D320" s="26" t="n"/>
      <c r="E320" s="26" t="n"/>
      <c r="F320" s="27" t="n"/>
      <c r="G320" s="26" t="n"/>
      <c r="H320" s="24" t="n"/>
      <c r="I320" s="26" t="n"/>
    </row>
    <row r="321">
      <c r="A321" s="24" t="n"/>
      <c r="B321" s="25" t="n"/>
      <c r="C321" s="26" t="n"/>
      <c r="D321" s="26" t="n"/>
      <c r="E321" s="26" t="n"/>
      <c r="F321" s="27" t="n"/>
      <c r="G321" s="26" t="n"/>
      <c r="H321" s="24" t="n"/>
      <c r="I321" s="26" t="n"/>
    </row>
    <row r="322">
      <c r="A322" s="24" t="n"/>
      <c r="B322" s="25" t="n"/>
      <c r="C322" s="26" t="n"/>
      <c r="D322" s="26" t="n"/>
      <c r="E322" s="26" t="n"/>
      <c r="F322" s="27" t="n"/>
      <c r="G322" s="26" t="n"/>
      <c r="H322" s="24" t="n"/>
      <c r="I322" s="26" t="n"/>
    </row>
    <row r="323">
      <c r="A323" s="24" t="n"/>
      <c r="B323" s="25" t="n"/>
      <c r="C323" s="26" t="n"/>
      <c r="D323" s="26" t="n"/>
      <c r="E323" s="26" t="n"/>
      <c r="F323" s="27" t="n"/>
      <c r="G323" s="26" t="n"/>
      <c r="H323" s="24" t="n"/>
      <c r="I323" s="26" t="n"/>
    </row>
    <row r="324">
      <c r="A324" s="24" t="n"/>
      <c r="B324" s="25" t="n"/>
      <c r="C324" s="26" t="n"/>
      <c r="D324" s="26" t="n"/>
      <c r="E324" s="26" t="n"/>
      <c r="F324" s="27" t="n"/>
      <c r="G324" s="26" t="n"/>
      <c r="H324" s="24" t="n"/>
      <c r="I324" s="26" t="n"/>
    </row>
    <row r="325">
      <c r="A325" s="24" t="n"/>
      <c r="B325" s="25" t="n"/>
      <c r="C325" s="26" t="n"/>
      <c r="D325" s="26" t="n"/>
      <c r="E325" s="26" t="n"/>
      <c r="F325" s="27" t="n"/>
      <c r="G325" s="26" t="n"/>
      <c r="H325" s="24" t="n"/>
      <c r="I325" s="26" t="n"/>
    </row>
    <row r="326">
      <c r="A326" s="24" t="n"/>
      <c r="B326" s="25" t="n"/>
      <c r="C326" s="26" t="n"/>
      <c r="D326" s="26" t="n"/>
      <c r="E326" s="26" t="n"/>
      <c r="F326" s="27" t="n"/>
      <c r="G326" s="26" t="n"/>
      <c r="H326" s="24" t="n"/>
      <c r="I326" s="26" t="n"/>
    </row>
    <row r="327">
      <c r="A327" s="24" t="n"/>
      <c r="B327" s="25" t="n"/>
      <c r="C327" s="26" t="n"/>
      <c r="D327" s="26" t="n"/>
      <c r="E327" s="26" t="n"/>
      <c r="F327" s="27" t="n"/>
      <c r="G327" s="26" t="n"/>
      <c r="H327" s="24" t="n"/>
      <c r="I327" s="26" t="n"/>
    </row>
    <row r="328">
      <c r="A328" s="24" t="n"/>
      <c r="B328" s="25" t="n"/>
      <c r="C328" s="26" t="n"/>
      <c r="D328" s="26" t="n"/>
      <c r="E328" s="26" t="n"/>
      <c r="F328" s="27" t="n"/>
      <c r="G328" s="26" t="n"/>
      <c r="H328" s="24" t="n"/>
      <c r="I328" s="26" t="n"/>
    </row>
    <row r="329">
      <c r="A329" s="24" t="n"/>
      <c r="B329" s="25" t="n"/>
      <c r="C329" s="26" t="n"/>
      <c r="D329" s="26" t="n"/>
      <c r="E329" s="26" t="n"/>
      <c r="F329" s="27" t="n"/>
      <c r="G329" s="26" t="n"/>
      <c r="H329" s="24" t="n"/>
      <c r="I329" s="26" t="n"/>
    </row>
    <row r="330">
      <c r="A330" s="24" t="n"/>
      <c r="B330" s="25" t="n"/>
      <c r="C330" s="26" t="n"/>
      <c r="D330" s="26" t="n"/>
      <c r="E330" s="26" t="n"/>
      <c r="F330" s="27" t="n"/>
      <c r="G330" s="26" t="n"/>
      <c r="H330" s="24" t="n"/>
      <c r="I330" s="26" t="n"/>
    </row>
    <row r="331">
      <c r="A331" s="24" t="n"/>
      <c r="B331" s="25" t="n"/>
      <c r="C331" s="26" t="n"/>
      <c r="D331" s="26" t="n"/>
      <c r="E331" s="26" t="n"/>
      <c r="F331" s="27" t="n"/>
      <c r="G331" s="26" t="n"/>
      <c r="H331" s="24" t="n"/>
      <c r="I331" s="26" t="n"/>
    </row>
    <row r="332">
      <c r="A332" s="24" t="n"/>
      <c r="B332" s="25" t="n"/>
      <c r="C332" s="26" t="n"/>
      <c r="D332" s="26" t="n"/>
      <c r="E332" s="26" t="n"/>
      <c r="F332" s="27" t="n"/>
      <c r="G332" s="26" t="n"/>
      <c r="H332" s="24" t="n"/>
      <c r="I332" s="26" t="n"/>
    </row>
    <row r="333">
      <c r="A333" s="24" t="n"/>
      <c r="B333" s="25" t="n"/>
      <c r="C333" s="26" t="n"/>
      <c r="D333" s="26" t="n"/>
      <c r="E333" s="26" t="n"/>
      <c r="F333" s="27" t="n"/>
      <c r="G333" s="26" t="n"/>
      <c r="H333" s="24" t="n"/>
      <c r="I333" s="26" t="n"/>
    </row>
    <row r="334">
      <c r="A334" s="24" t="n"/>
      <c r="B334" s="25" t="n"/>
      <c r="C334" s="26" t="n"/>
      <c r="D334" s="26" t="n"/>
      <c r="E334" s="26" t="n"/>
      <c r="F334" s="27" t="n"/>
      <c r="G334" s="26" t="n"/>
      <c r="H334" s="24" t="n"/>
      <c r="I334" s="26" t="n"/>
    </row>
    <row r="335">
      <c r="A335" s="24" t="n"/>
      <c r="B335" s="25" t="n"/>
      <c r="C335" s="26" t="n"/>
      <c r="D335" s="26" t="n"/>
      <c r="E335" s="26" t="n"/>
      <c r="F335" s="27" t="n"/>
      <c r="G335" s="26" t="n"/>
      <c r="H335" s="24" t="n"/>
      <c r="I335" s="26" t="n"/>
    </row>
    <row r="336">
      <c r="A336" s="24" t="n"/>
      <c r="B336" s="25" t="n"/>
      <c r="C336" s="26" t="n"/>
      <c r="D336" s="26" t="n"/>
      <c r="E336" s="26" t="n"/>
      <c r="F336" s="27" t="n"/>
      <c r="G336" s="26" t="n"/>
      <c r="H336" s="24" t="n"/>
      <c r="I336" s="26" t="n"/>
    </row>
    <row r="337">
      <c r="A337" s="24" t="n"/>
      <c r="B337" s="25" t="n"/>
      <c r="C337" s="26" t="n"/>
      <c r="D337" s="26" t="n"/>
      <c r="E337" s="26" t="n"/>
      <c r="F337" s="27" t="n"/>
      <c r="G337" s="26" t="n"/>
      <c r="H337" s="24" t="n"/>
      <c r="I337" s="26" t="n"/>
    </row>
    <row r="338">
      <c r="A338" s="24" t="n"/>
      <c r="B338" s="25" t="n"/>
      <c r="C338" s="26" t="n"/>
      <c r="D338" s="26" t="n"/>
      <c r="E338" s="26" t="n"/>
      <c r="F338" s="27" t="n"/>
      <c r="G338" s="26" t="n"/>
      <c r="H338" s="24" t="n"/>
      <c r="I338" s="26" t="n"/>
    </row>
    <row r="339">
      <c r="A339" s="24" t="n"/>
      <c r="B339" s="25" t="n"/>
      <c r="C339" s="26" t="n"/>
      <c r="D339" s="26" t="n"/>
      <c r="E339" s="26" t="n"/>
      <c r="F339" s="27" t="n"/>
      <c r="G339" s="26" t="n"/>
      <c r="H339" s="24" t="n"/>
      <c r="I339" s="26" t="n"/>
    </row>
    <row r="340">
      <c r="A340" s="24" t="n"/>
      <c r="B340" s="25" t="n"/>
      <c r="C340" s="26" t="n"/>
      <c r="D340" s="26" t="n"/>
      <c r="E340" s="26" t="n"/>
      <c r="F340" s="27" t="n"/>
      <c r="G340" s="26" t="n"/>
      <c r="H340" s="24" t="n"/>
      <c r="I340" s="26" t="n"/>
    </row>
    <row r="341">
      <c r="A341" s="24" t="n"/>
      <c r="B341" s="25" t="n"/>
      <c r="C341" s="26" t="n"/>
      <c r="D341" s="26" t="n"/>
      <c r="E341" s="26" t="n"/>
      <c r="F341" s="27" t="n"/>
      <c r="G341" s="26" t="n"/>
      <c r="H341" s="24" t="n"/>
      <c r="I341" s="26" t="n"/>
    </row>
    <row r="342">
      <c r="A342" s="24" t="n"/>
      <c r="B342" s="25" t="n"/>
      <c r="C342" s="26" t="n"/>
      <c r="D342" s="26" t="n"/>
      <c r="E342" s="26" t="n"/>
      <c r="F342" s="27" t="n"/>
      <c r="G342" s="26" t="n"/>
      <c r="H342" s="24" t="n"/>
      <c r="I342" s="26" t="n"/>
    </row>
    <row r="343">
      <c r="A343" s="24" t="n"/>
      <c r="B343" s="25" t="n"/>
      <c r="C343" s="26" t="n"/>
      <c r="D343" s="26" t="n"/>
      <c r="E343" s="26" t="n"/>
      <c r="F343" s="27" t="n"/>
      <c r="G343" s="26" t="n"/>
      <c r="H343" s="24" t="n"/>
      <c r="I343" s="26" t="n"/>
    </row>
    <row r="344">
      <c r="A344" s="24" t="n"/>
      <c r="B344" s="25" t="n"/>
      <c r="C344" s="26" t="n"/>
      <c r="D344" s="26" t="n"/>
      <c r="E344" s="26" t="n"/>
      <c r="F344" s="27" t="n"/>
      <c r="G344" s="26" t="n"/>
      <c r="H344" s="24" t="n"/>
      <c r="I344" s="26" t="n"/>
    </row>
    <row r="345">
      <c r="A345" s="24" t="n"/>
      <c r="B345" s="25" t="n"/>
      <c r="C345" s="26" t="n"/>
      <c r="D345" s="26" t="n"/>
      <c r="E345" s="26" t="n"/>
      <c r="F345" s="27" t="n"/>
      <c r="G345" s="26" t="n"/>
      <c r="H345" s="24" t="n"/>
      <c r="I345" s="26" t="n"/>
    </row>
    <row r="346">
      <c r="A346" s="24" t="n"/>
      <c r="B346" s="25" t="n"/>
      <c r="C346" s="26" t="n"/>
      <c r="D346" s="26" t="n"/>
      <c r="E346" s="26" t="n"/>
      <c r="F346" s="27" t="n"/>
      <c r="G346" s="26" t="n"/>
      <c r="H346" s="24" t="n"/>
      <c r="I346" s="26" t="n"/>
    </row>
    <row r="347">
      <c r="A347" s="24" t="n"/>
      <c r="B347" s="25" t="n"/>
      <c r="C347" s="26" t="n"/>
      <c r="D347" s="26" t="n"/>
      <c r="E347" s="26" t="n"/>
      <c r="F347" s="27" t="n"/>
      <c r="G347" s="26" t="n"/>
      <c r="H347" s="24" t="n"/>
      <c r="I347" s="26" t="n"/>
    </row>
    <row r="348">
      <c r="A348" s="24" t="n"/>
      <c r="B348" s="25" t="n"/>
      <c r="C348" s="26" t="n"/>
      <c r="D348" s="26" t="n"/>
      <c r="E348" s="26" t="n"/>
      <c r="F348" s="27" t="n"/>
      <c r="G348" s="26" t="n"/>
      <c r="H348" s="24" t="n"/>
      <c r="I348" s="26" t="n"/>
    </row>
    <row r="349">
      <c r="A349" s="24" t="n"/>
      <c r="B349" s="25" t="n"/>
      <c r="C349" s="26" t="n"/>
      <c r="D349" s="26" t="n"/>
      <c r="E349" s="26" t="n"/>
      <c r="F349" s="27" t="n"/>
      <c r="G349" s="26" t="n"/>
      <c r="H349" s="24" t="n"/>
      <c r="I349" s="26" t="n"/>
    </row>
    <row r="350">
      <c r="A350" s="24" t="n"/>
      <c r="B350" s="25" t="n"/>
      <c r="C350" s="26" t="n"/>
      <c r="D350" s="26" t="n"/>
      <c r="E350" s="26" t="n"/>
      <c r="F350" s="27" t="n"/>
      <c r="G350" s="26" t="n"/>
      <c r="H350" s="24" t="n"/>
      <c r="I350" s="26" t="n"/>
    </row>
    <row r="351">
      <c r="A351" s="24" t="n"/>
      <c r="B351" s="25" t="n"/>
      <c r="C351" s="26" t="n"/>
      <c r="D351" s="26" t="n"/>
      <c r="E351" s="26" t="n"/>
      <c r="F351" s="27" t="n"/>
      <c r="G351" s="26" t="n"/>
      <c r="H351" s="24" t="n"/>
      <c r="I351" s="26" t="n"/>
    </row>
    <row r="352">
      <c r="A352" s="24" t="n"/>
      <c r="B352" s="25" t="n"/>
      <c r="C352" s="26" t="n"/>
      <c r="D352" s="26" t="n"/>
      <c r="E352" s="26" t="n"/>
      <c r="F352" s="27" t="n"/>
      <c r="G352" s="26" t="n"/>
      <c r="H352" s="24" t="n"/>
      <c r="I352" s="26" t="n"/>
    </row>
    <row r="353">
      <c r="A353" s="24" t="n"/>
      <c r="B353" s="25" t="n"/>
      <c r="C353" s="26" t="n"/>
      <c r="D353" s="26" t="n"/>
      <c r="E353" s="26" t="n"/>
      <c r="F353" s="27" t="n"/>
      <c r="G353" s="26" t="n"/>
      <c r="H353" s="24" t="n"/>
      <c r="I353" s="26" t="n"/>
    </row>
    <row r="354">
      <c r="A354" s="24" t="n"/>
      <c r="B354" s="25" t="n"/>
      <c r="C354" s="26" t="n"/>
      <c r="D354" s="26" t="n"/>
      <c r="E354" s="26" t="n"/>
      <c r="F354" s="27" t="n"/>
      <c r="G354" s="26" t="n"/>
      <c r="H354" s="24" t="n"/>
      <c r="I354" s="26" t="n"/>
    </row>
    <row r="355">
      <c r="A355" s="24" t="n"/>
      <c r="B355" s="25" t="n"/>
      <c r="C355" s="26" t="n"/>
      <c r="D355" s="26" t="n"/>
      <c r="E355" s="26" t="n"/>
      <c r="F355" s="27" t="n"/>
      <c r="G355" s="26" t="n"/>
      <c r="H355" s="24" t="n"/>
      <c r="I355" s="26" t="n"/>
    </row>
    <row r="356">
      <c r="A356" s="24" t="n"/>
      <c r="B356" s="25" t="n"/>
      <c r="C356" s="26" t="n"/>
      <c r="D356" s="26" t="n"/>
      <c r="E356" s="26" t="n"/>
      <c r="F356" s="27" t="n"/>
      <c r="G356" s="26" t="n"/>
      <c r="H356" s="24" t="n"/>
      <c r="I356" s="26" t="n"/>
    </row>
    <row r="357">
      <c r="A357" s="24" t="n"/>
      <c r="B357" s="25" t="n"/>
      <c r="C357" s="26" t="n"/>
      <c r="D357" s="26" t="n"/>
      <c r="E357" s="26" t="n"/>
      <c r="F357" s="27" t="n"/>
      <c r="G357" s="26" t="n"/>
      <c r="H357" s="24" t="n"/>
      <c r="I357" s="26" t="n"/>
    </row>
    <row r="358">
      <c r="A358" s="24" t="n"/>
      <c r="B358" s="25" t="n"/>
      <c r="C358" s="26" t="n"/>
      <c r="D358" s="26" t="n"/>
      <c r="E358" s="26" t="n"/>
      <c r="F358" s="27" t="n"/>
      <c r="G358" s="26" t="n"/>
      <c r="H358" s="24" t="n"/>
      <c r="I358" s="26" t="n"/>
    </row>
    <row r="359">
      <c r="A359" s="24" t="n"/>
      <c r="B359" s="25" t="n"/>
      <c r="C359" s="26" t="n"/>
      <c r="D359" s="26" t="n"/>
      <c r="E359" s="26" t="n"/>
      <c r="F359" s="27" t="n"/>
      <c r="G359" s="26" t="n"/>
      <c r="H359" s="24" t="n"/>
      <c r="I359" s="26" t="n"/>
    </row>
    <row r="360">
      <c r="A360" s="24" t="n"/>
      <c r="B360" s="25" t="n"/>
      <c r="C360" s="26" t="n"/>
      <c r="D360" s="26" t="n"/>
      <c r="E360" s="26" t="n"/>
      <c r="F360" s="27" t="n"/>
      <c r="G360" s="26" t="n"/>
      <c r="H360" s="24" t="n"/>
      <c r="I360" s="26" t="n"/>
    </row>
    <row r="361">
      <c r="A361" s="24" t="n"/>
      <c r="B361" s="25" t="n"/>
      <c r="C361" s="26" t="n"/>
      <c r="D361" s="26" t="n"/>
      <c r="E361" s="26" t="n"/>
      <c r="F361" s="27" t="n"/>
      <c r="G361" s="26" t="n"/>
      <c r="H361" s="24" t="n"/>
      <c r="I361" s="26" t="n"/>
    </row>
    <row r="362">
      <c r="A362" s="24" t="n"/>
      <c r="B362" s="25" t="n"/>
      <c r="C362" s="26" t="n"/>
      <c r="D362" s="26" t="n"/>
      <c r="E362" s="26" t="n"/>
      <c r="F362" s="27" t="n"/>
      <c r="G362" s="26" t="n"/>
      <c r="H362" s="24" t="n"/>
      <c r="I362" s="26" t="n"/>
    </row>
    <row r="363">
      <c r="A363" s="24" t="n"/>
      <c r="B363" s="25" t="n"/>
      <c r="C363" s="26" t="n"/>
      <c r="D363" s="26" t="n"/>
      <c r="E363" s="26" t="n"/>
      <c r="F363" s="27" t="n"/>
      <c r="G363" s="26" t="n"/>
      <c r="H363" s="24" t="n"/>
      <c r="I363" s="26" t="n"/>
    </row>
    <row r="364">
      <c r="A364" s="24" t="n"/>
      <c r="B364" s="25" t="n"/>
      <c r="C364" s="26" t="n"/>
      <c r="D364" s="26" t="n"/>
      <c r="E364" s="26" t="n"/>
      <c r="F364" s="27" t="n"/>
      <c r="G364" s="26" t="n"/>
      <c r="H364" s="24" t="n"/>
      <c r="I364" s="26" t="n"/>
    </row>
    <row r="365">
      <c r="A365" s="24" t="n"/>
      <c r="B365" s="25" t="n"/>
      <c r="C365" s="26" t="n"/>
      <c r="D365" s="26" t="n"/>
      <c r="E365" s="26" t="n"/>
      <c r="F365" s="27" t="n"/>
      <c r="G365" s="26" t="n"/>
      <c r="H365" s="24" t="n"/>
      <c r="I365" s="26" t="n"/>
    </row>
    <row r="366">
      <c r="A366" s="24" t="n"/>
      <c r="B366" s="25" t="n"/>
      <c r="C366" s="26" t="n"/>
      <c r="D366" s="26" t="n"/>
      <c r="E366" s="26" t="n"/>
      <c r="F366" s="27" t="n"/>
      <c r="G366" s="26" t="n"/>
      <c r="H366" s="24" t="n"/>
      <c r="I366" s="26" t="n"/>
    </row>
    <row r="367">
      <c r="A367" s="24" t="n"/>
      <c r="B367" s="25" t="n"/>
      <c r="C367" s="26" t="n"/>
      <c r="D367" s="26" t="n"/>
      <c r="E367" s="26" t="n"/>
      <c r="F367" s="27" t="n"/>
      <c r="G367" s="26" t="n"/>
      <c r="H367" s="24" t="n"/>
      <c r="I367" s="26" t="n"/>
    </row>
    <row r="368">
      <c r="A368" s="24" t="n"/>
      <c r="B368" s="25" t="n"/>
      <c r="C368" s="26" t="n"/>
      <c r="D368" s="26" t="n"/>
      <c r="E368" s="26" t="n"/>
      <c r="F368" s="27" t="n"/>
      <c r="G368" s="26" t="n"/>
      <c r="H368" s="24" t="n"/>
      <c r="I368" s="26" t="n"/>
    </row>
    <row r="369">
      <c r="A369" s="24" t="n"/>
      <c r="B369" s="25" t="n"/>
      <c r="C369" s="26" t="n"/>
      <c r="D369" s="26" t="n"/>
      <c r="E369" s="26" t="n"/>
      <c r="F369" s="27" t="n"/>
      <c r="G369" s="26" t="n"/>
      <c r="H369" s="24" t="n"/>
      <c r="I369" s="26" t="n"/>
    </row>
    <row r="370">
      <c r="A370" s="24" t="n"/>
      <c r="B370" s="25" t="n"/>
      <c r="C370" s="26" t="n"/>
      <c r="D370" s="26" t="n"/>
      <c r="E370" s="26" t="n"/>
      <c r="F370" s="27" t="n"/>
      <c r="G370" s="26" t="n"/>
      <c r="H370" s="24" t="n"/>
      <c r="I370" s="26" t="n"/>
    </row>
    <row r="371">
      <c r="A371" s="24" t="n"/>
      <c r="B371" s="25" t="n"/>
      <c r="C371" s="26" t="n"/>
      <c r="D371" s="26" t="n"/>
      <c r="E371" s="26" t="n"/>
      <c r="F371" s="27" t="n"/>
      <c r="G371" s="26" t="n"/>
      <c r="H371" s="24" t="n"/>
      <c r="I371" s="26" t="n"/>
    </row>
    <row r="372">
      <c r="A372" s="24" t="n"/>
      <c r="B372" s="25" t="n"/>
      <c r="C372" s="26" t="n"/>
      <c r="D372" s="26" t="n"/>
      <c r="E372" s="26" t="n"/>
      <c r="F372" s="27" t="n"/>
      <c r="G372" s="26" t="n"/>
      <c r="H372" s="24" t="n"/>
      <c r="I372" s="26" t="n"/>
    </row>
    <row r="373">
      <c r="A373" s="24" t="n"/>
      <c r="B373" s="25" t="n"/>
      <c r="C373" s="26" t="n"/>
      <c r="D373" s="26" t="n"/>
      <c r="E373" s="26" t="n"/>
      <c r="F373" s="27" t="n"/>
      <c r="G373" s="26" t="n"/>
      <c r="H373" s="24" t="n"/>
      <c r="I373" s="26" t="n"/>
    </row>
    <row r="374">
      <c r="A374" s="24" t="n"/>
      <c r="B374" s="25" t="n"/>
      <c r="C374" s="26" t="n"/>
      <c r="D374" s="26" t="n"/>
      <c r="E374" s="26" t="n"/>
      <c r="F374" s="27" t="n"/>
      <c r="G374" s="26" t="n"/>
      <c r="H374" s="24" t="n"/>
      <c r="I374" s="26" t="n"/>
    </row>
    <row r="375">
      <c r="A375" s="24" t="n"/>
      <c r="B375" s="25" t="n"/>
      <c r="C375" s="26" t="n"/>
      <c r="D375" s="26" t="n"/>
      <c r="E375" s="26" t="n"/>
      <c r="F375" s="27" t="n"/>
      <c r="G375" s="26" t="n"/>
      <c r="H375" s="24" t="n"/>
      <c r="I375" s="26" t="n"/>
    </row>
    <row r="376">
      <c r="A376" s="24" t="n"/>
      <c r="B376" s="25" t="n"/>
      <c r="C376" s="26" t="n"/>
      <c r="D376" s="26" t="n"/>
      <c r="E376" s="26" t="n"/>
      <c r="F376" s="27" t="n"/>
      <c r="G376" s="26" t="n"/>
      <c r="H376" s="24" t="n"/>
      <c r="I376" s="26" t="n"/>
    </row>
    <row r="377">
      <c r="A377" s="24" t="n"/>
      <c r="B377" s="25" t="n"/>
      <c r="C377" s="26" t="n"/>
      <c r="D377" s="26" t="n"/>
      <c r="E377" s="26" t="n"/>
      <c r="F377" s="27" t="n"/>
      <c r="G377" s="26" t="n"/>
      <c r="H377" s="24" t="n"/>
      <c r="I377" s="26" t="n"/>
    </row>
    <row r="378">
      <c r="A378" s="24" t="n"/>
      <c r="B378" s="25" t="n"/>
      <c r="C378" s="26" t="n"/>
      <c r="D378" s="26" t="n"/>
      <c r="E378" s="26" t="n"/>
      <c r="F378" s="27" t="n"/>
      <c r="G378" s="26" t="n"/>
      <c r="H378" s="24" t="n"/>
      <c r="I378" s="26" t="n"/>
    </row>
    <row r="379">
      <c r="A379" s="24" t="n"/>
      <c r="B379" s="25" t="n"/>
      <c r="C379" s="26" t="n"/>
      <c r="D379" s="26" t="n"/>
      <c r="E379" s="26" t="n"/>
      <c r="F379" s="27" t="n"/>
      <c r="G379" s="26" t="n"/>
      <c r="H379" s="24" t="n"/>
      <c r="I379" s="26" t="n"/>
    </row>
    <row r="380">
      <c r="A380" s="24" t="n"/>
      <c r="B380" s="25" t="n"/>
      <c r="C380" s="26" t="n"/>
      <c r="D380" s="26" t="n"/>
      <c r="E380" s="26" t="n"/>
      <c r="F380" s="27" t="n"/>
      <c r="G380" s="26" t="n"/>
      <c r="H380" s="24" t="n"/>
      <c r="I380" s="26" t="n"/>
    </row>
    <row r="381">
      <c r="A381" s="24" t="n"/>
      <c r="B381" s="25" t="n"/>
      <c r="C381" s="26" t="n"/>
      <c r="D381" s="26" t="n"/>
      <c r="E381" s="26" t="n"/>
      <c r="F381" s="27" t="n"/>
      <c r="G381" s="26" t="n"/>
      <c r="H381" s="24" t="n"/>
      <c r="I381" s="26" t="n"/>
    </row>
    <row r="382">
      <c r="A382" s="24" t="n"/>
      <c r="B382" s="25" t="n"/>
      <c r="C382" s="26" t="n"/>
      <c r="D382" s="26" t="n"/>
      <c r="E382" s="26" t="n"/>
      <c r="F382" s="27" t="n"/>
      <c r="G382" s="26" t="n"/>
      <c r="H382" s="24" t="n"/>
      <c r="I382" s="26" t="n"/>
    </row>
    <row r="383">
      <c r="A383" s="24" t="n"/>
      <c r="B383" s="25" t="n"/>
      <c r="C383" s="26" t="n"/>
      <c r="D383" s="26" t="n"/>
      <c r="E383" s="26" t="n"/>
      <c r="F383" s="27" t="n"/>
      <c r="G383" s="26" t="n"/>
      <c r="H383" s="24" t="n"/>
      <c r="I383" s="26" t="n"/>
    </row>
    <row r="384">
      <c r="A384" s="24" t="n"/>
      <c r="B384" s="25" t="n"/>
      <c r="C384" s="26" t="n"/>
      <c r="D384" s="26" t="n"/>
      <c r="E384" s="26" t="n"/>
      <c r="F384" s="27" t="n"/>
      <c r="G384" s="26" t="n"/>
      <c r="H384" s="24" t="n"/>
      <c r="I384" s="26" t="n"/>
    </row>
    <row r="385">
      <c r="A385" s="24" t="n"/>
      <c r="B385" s="25" t="n"/>
      <c r="C385" s="26" t="n"/>
      <c r="D385" s="26" t="n"/>
      <c r="E385" s="26" t="n"/>
      <c r="F385" s="27" t="n"/>
      <c r="G385" s="26" t="n"/>
      <c r="H385" s="24" t="n"/>
      <c r="I385" s="26" t="n"/>
    </row>
    <row r="386">
      <c r="A386" s="24" t="n"/>
      <c r="B386" s="25" t="n"/>
      <c r="C386" s="26" t="n"/>
      <c r="D386" s="26" t="n"/>
      <c r="E386" s="26" t="n"/>
      <c r="F386" s="27" t="n"/>
      <c r="G386" s="26" t="n"/>
      <c r="H386" s="24" t="n"/>
      <c r="I386" s="26" t="n"/>
    </row>
    <row r="387">
      <c r="A387" s="24" t="n"/>
      <c r="B387" s="25" t="n"/>
      <c r="C387" s="26" t="n"/>
      <c r="D387" s="26" t="n"/>
      <c r="E387" s="26" t="n"/>
      <c r="F387" s="27" t="n"/>
      <c r="G387" s="26" t="n"/>
      <c r="H387" s="24" t="n"/>
      <c r="I387" s="26" t="n"/>
    </row>
    <row r="388">
      <c r="A388" s="24" t="n"/>
      <c r="B388" s="25" t="n"/>
      <c r="C388" s="26" t="n"/>
      <c r="D388" s="26" t="n"/>
      <c r="E388" s="26" t="n"/>
      <c r="F388" s="27" t="n"/>
      <c r="G388" s="26" t="n"/>
      <c r="H388" s="24" t="n"/>
      <c r="I388" s="26" t="n"/>
    </row>
    <row r="389">
      <c r="A389" s="24" t="n"/>
      <c r="B389" s="25" t="n"/>
      <c r="C389" s="26" t="n"/>
      <c r="D389" s="26" t="n"/>
      <c r="E389" s="26" t="n"/>
      <c r="F389" s="27" t="n"/>
      <c r="G389" s="26" t="n"/>
      <c r="H389" s="24" t="n"/>
      <c r="I389" s="26" t="n"/>
    </row>
    <row r="390">
      <c r="A390" s="24" t="n"/>
      <c r="B390" s="25" t="n"/>
      <c r="C390" s="26" t="n"/>
      <c r="D390" s="26" t="n"/>
      <c r="E390" s="26" t="n"/>
      <c r="F390" s="27" t="n"/>
      <c r="G390" s="26" t="n"/>
      <c r="H390" s="24" t="n"/>
      <c r="I390" s="26" t="n"/>
    </row>
    <row r="391">
      <c r="A391" s="24" t="n"/>
      <c r="B391" s="25" t="n"/>
      <c r="C391" s="26" t="n"/>
      <c r="D391" s="26" t="n"/>
      <c r="E391" s="26" t="n"/>
      <c r="F391" s="27" t="n"/>
      <c r="G391" s="26" t="n"/>
      <c r="H391" s="24" t="n"/>
      <c r="I391" s="26" t="n"/>
    </row>
    <row r="392">
      <c r="A392" s="24" t="n"/>
      <c r="B392" s="25" t="n"/>
      <c r="C392" s="26" t="n"/>
      <c r="D392" s="26" t="n"/>
      <c r="E392" s="26" t="n"/>
      <c r="F392" s="27" t="n"/>
      <c r="G392" s="26" t="n"/>
      <c r="H392" s="24" t="n"/>
      <c r="I392" s="26" t="n"/>
    </row>
    <row r="393">
      <c r="A393" s="24" t="n"/>
      <c r="B393" s="25" t="n"/>
      <c r="C393" s="26" t="n"/>
      <c r="D393" s="26" t="n"/>
      <c r="E393" s="26" t="n"/>
      <c r="F393" s="27" t="n"/>
      <c r="G393" s="26" t="n"/>
      <c r="H393" s="24" t="n"/>
      <c r="I393" s="26" t="n"/>
    </row>
    <row r="394">
      <c r="A394" s="24" t="n"/>
      <c r="B394" s="25" t="n"/>
      <c r="C394" s="26" t="n"/>
      <c r="D394" s="26" t="n"/>
      <c r="E394" s="26" t="n"/>
      <c r="F394" s="27" t="n"/>
      <c r="G394" s="26" t="n"/>
      <c r="H394" s="24" t="n"/>
      <c r="I394" s="26" t="n"/>
    </row>
    <row r="395">
      <c r="A395" s="24" t="n"/>
      <c r="B395" s="25" t="n"/>
      <c r="C395" s="26" t="n"/>
      <c r="D395" s="26" t="n"/>
      <c r="E395" s="26" t="n"/>
      <c r="F395" s="27" t="n"/>
      <c r="G395" s="26" t="n"/>
      <c r="H395" s="24" t="n"/>
      <c r="I395" s="26" t="n"/>
    </row>
    <row r="396">
      <c r="A396" s="24" t="n"/>
      <c r="B396" s="25" t="n"/>
      <c r="C396" s="26" t="n"/>
      <c r="D396" s="26" t="n"/>
      <c r="E396" s="26" t="n"/>
      <c r="F396" s="27" t="n"/>
      <c r="G396" s="26" t="n"/>
      <c r="H396" s="24" t="n"/>
      <c r="I396" s="26" t="n"/>
    </row>
    <row r="397">
      <c r="A397" s="24" t="n"/>
      <c r="B397" s="25" t="n"/>
      <c r="C397" s="26" t="n"/>
      <c r="D397" s="26" t="n"/>
      <c r="E397" s="26" t="n"/>
      <c r="F397" s="27" t="n"/>
      <c r="G397" s="26" t="n"/>
      <c r="H397" s="24" t="n"/>
      <c r="I397" s="26" t="n"/>
    </row>
    <row r="398">
      <c r="A398" s="24" t="n"/>
      <c r="B398" s="25" t="n"/>
      <c r="C398" s="26" t="n"/>
      <c r="D398" s="26" t="n"/>
      <c r="E398" s="26" t="n"/>
      <c r="F398" s="27" t="n"/>
      <c r="G398" s="26" t="n"/>
      <c r="H398" s="24" t="n"/>
      <c r="I398" s="26" t="n"/>
    </row>
    <row r="399">
      <c r="A399" s="24" t="n"/>
      <c r="B399" s="25" t="n"/>
      <c r="C399" s="26" t="n"/>
      <c r="D399" s="26" t="n"/>
      <c r="E399" s="26" t="n"/>
      <c r="F399" s="27" t="n"/>
      <c r="G399" s="26" t="n"/>
      <c r="H399" s="24" t="n"/>
      <c r="I399" s="26" t="n"/>
    </row>
    <row r="400">
      <c r="A400" s="24" t="n"/>
      <c r="B400" s="25" t="n"/>
      <c r="C400" s="26" t="n"/>
      <c r="D400" s="26" t="n"/>
      <c r="E400" s="26" t="n"/>
      <c r="F400" s="27" t="n"/>
      <c r="G400" s="26" t="n"/>
      <c r="H400" s="24" t="n"/>
      <c r="I400" s="26" t="n"/>
    </row>
  </sheetData>
  <conditionalFormatting sqref="G2:G400">
    <cfRule type="cellIs" priority="1" operator="equal" dxfId="3">
      <formula>"Pendente"</formula>
    </cfRule>
    <cfRule type="cellIs" priority="2" operator="equal" dxfId="0">
      <formula>"Aprovada"</formula>
    </cfRule>
    <cfRule type="cellIs" priority="3" operator="equal" dxfId="1">
      <formula>"Cancelada/Reembolsada"</formula>
    </cfRule>
  </conditionalFormatting>
  <dataValidations count="2">
    <dataValidation sqref="G2:G400" showDropDown="0" showInputMessage="0" showErrorMessage="0" allowBlank="1" type="list">
      <formula1>"Pendente,Aprovada,Cancelada/Reembolsada"</formula1>
    </dataValidation>
    <dataValidation sqref="E2:E400" showDropDown="0" showInputMessage="0" showErrorMessage="0" allowBlank="1" type="list">
      <formula1>"MaxWeb,Digistore24,ClickBank,Outra"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6" customWidth="1" min="4" max="4"/>
    <col width="12" customWidth="1" min="5" max="5"/>
    <col width="14" customWidth="1" min="6" max="6"/>
    <col width="16" customWidth="1" min="7" max="7"/>
    <col width="12" customWidth="1" min="8" max="8"/>
    <col width="10" customWidth="1" min="9" max="9"/>
    <col width="10" customWidth="1" min="10" max="10"/>
    <col width="12" customWidth="1" min="11" max="11"/>
    <col width="12" customWidth="1" min="12" max="12"/>
    <col width="15" customWidth="1" min="13" max="13"/>
    <col width="15" customWidth="1" min="14" max="14"/>
    <col width="12" customWidth="1" min="15" max="15"/>
    <col width="10" customWidth="1" min="16" max="16"/>
    <col width="10" customWidth="1" min="17" max="17"/>
  </cols>
  <sheetData>
    <row r="1">
      <c r="A1" s="15" t="inlineStr">
        <is>
          <t>Campanha</t>
        </is>
      </c>
      <c r="B1" s="15" t="inlineStr">
        <is>
          <t>Produto/Oferta Anunciada</t>
        </is>
      </c>
      <c r="C1" s="15" t="inlineStr">
        <is>
          <t>Plataforma</t>
        </is>
      </c>
      <c r="D1" s="15" t="inlineStr">
        <is>
          <t>Tipo de Campanha</t>
        </is>
      </c>
      <c r="E1" s="15" t="inlineStr">
        <is>
          <t>Data Início</t>
        </is>
      </c>
      <c r="F1" s="15" t="inlineStr">
        <is>
          <t>Orçamento Diário (R$)</t>
        </is>
      </c>
      <c r="G1" s="15" t="inlineStr">
        <is>
          <t>Investimento no Período (R$)</t>
        </is>
      </c>
      <c r="H1" s="15" t="inlineStr">
        <is>
          <t>Impressões</t>
        </is>
      </c>
      <c r="I1" s="15" t="inlineStr">
        <is>
          <t>Cliques</t>
        </is>
      </c>
      <c r="J1" s="15" t="inlineStr">
        <is>
          <t>CTR (%)</t>
        </is>
      </c>
      <c r="K1" s="15" t="inlineStr">
        <is>
          <t>CPC Médio (R$)</t>
        </is>
      </c>
      <c r="L1" s="15" t="inlineStr">
        <is>
          <t>Vendas Aprovadas</t>
        </is>
      </c>
      <c r="M1" s="15" t="inlineStr">
        <is>
          <t>Comissão Aprovada (US$)</t>
        </is>
      </c>
      <c r="N1" s="15" t="inlineStr">
        <is>
          <t>Comissão Aprovada (R$)</t>
        </is>
      </c>
      <c r="O1" s="15" t="inlineStr">
        <is>
          <t>CPA (R$)</t>
        </is>
      </c>
      <c r="P1" s="15" t="inlineStr">
        <is>
          <t>ROI (%)</t>
        </is>
      </c>
      <c r="Q1" s="15" t="inlineStr">
        <is>
          <t>EPC (R$)</t>
        </is>
      </c>
    </row>
    <row r="2">
      <c r="A2" s="22" t="inlineStr">
        <is>
          <t>Oferta Dólar - Pesquisa</t>
        </is>
      </c>
      <c r="B2" s="22" t="inlineStr">
        <is>
          <t>Programa X / Programa Y</t>
        </is>
      </c>
      <c r="C2" s="22" t="inlineStr">
        <is>
          <t>MaxWeb</t>
        </is>
      </c>
      <c r="D2" s="22" t="inlineStr">
        <is>
          <t>Pesquisa</t>
        </is>
      </c>
      <c r="E2" s="20" t="inlineStr">
        <is>
          <t>2026-08-15</t>
        </is>
      </c>
      <c r="F2" s="28" t="n">
        <v>60</v>
      </c>
      <c r="G2" s="28" t="n">
        <v>1350</v>
      </c>
      <c r="H2" s="29" t="n">
        <v>22000</v>
      </c>
      <c r="I2" s="29" t="n">
        <v>780</v>
      </c>
      <c r="J2" s="30">
        <f>IF(H2=0,"",I2/H2)</f>
        <v/>
      </c>
      <c r="K2" s="31">
        <f>IF(I2=0,"",G2/I2)</f>
        <v/>
      </c>
      <c r="L2" s="22">
        <f>COUNTIFS('Vendas (Conversões)'!$C$2:$C$400,A2,'Vendas (Conversões)'!$G$2:$G$400,"Aprovada")</f>
        <v/>
      </c>
      <c r="M2" s="23">
        <f>SUMIFS('Vendas (Conversões)'!$F$2:$F$400,'Vendas (Conversões)'!$C$2:$C$400,A2,'Vendas (Conversões)'!$G$2:$G$400,"Aprovada")</f>
        <v/>
      </c>
      <c r="N2" s="31">
        <f>M2*Dashboard!$B$6</f>
        <v/>
      </c>
      <c r="O2" s="28">
        <f>IF(L2=0,"",G2/L2)</f>
        <v/>
      </c>
      <c r="P2" s="32">
        <f>IF(G2=0,"",(N2-G2)/G2)</f>
        <v/>
      </c>
      <c r="Q2" s="31">
        <f>IF(I2=0,"",N2/I2)</f>
        <v/>
      </c>
    </row>
    <row r="3">
      <c r="A3" s="22" t="inlineStr">
        <is>
          <t>Oferta Dólar - PMax</t>
        </is>
      </c>
      <c r="B3" s="22" t="inlineStr">
        <is>
          <t>Programa X</t>
        </is>
      </c>
      <c r="C3" s="22" t="inlineStr">
        <is>
          <t>MaxWeb</t>
        </is>
      </c>
      <c r="D3" s="22" t="inlineStr">
        <is>
          <t>Performance Max</t>
        </is>
      </c>
      <c r="E3" s="20" t="inlineStr">
        <is>
          <t>2026-08-20</t>
        </is>
      </c>
      <c r="F3" s="28" t="n">
        <v>90</v>
      </c>
      <c r="G3" s="28" t="n">
        <v>2100</v>
      </c>
      <c r="H3" s="29" t="n">
        <v>41000</v>
      </c>
      <c r="I3" s="29" t="n">
        <v>1250</v>
      </c>
      <c r="J3" s="30">
        <f>IF(H3=0,"",I3/H3)</f>
        <v/>
      </c>
      <c r="K3" s="31">
        <f>IF(I3=0,"",G3/I3)</f>
        <v/>
      </c>
      <c r="L3" s="22">
        <f>COUNTIFS('Vendas (Conversões)'!$C$2:$C$400,A3,'Vendas (Conversões)'!$G$2:$G$400,"Aprovada")</f>
        <v/>
      </c>
      <c r="M3" s="23">
        <f>SUMIFS('Vendas (Conversões)'!$F$2:$F$400,'Vendas (Conversões)'!$C$2:$C$400,A3,'Vendas (Conversões)'!$G$2:$G$400,"Aprovada")</f>
        <v/>
      </c>
      <c r="N3" s="31">
        <f>M3*Dashboard!$B$6</f>
        <v/>
      </c>
      <c r="O3" s="28">
        <f>IF(L3=0,"",G3/L3)</f>
        <v/>
      </c>
      <c r="P3" s="32">
        <f>IF(G3=0,"",(N3-G3)/G3)</f>
        <v/>
      </c>
      <c r="Q3" s="31">
        <f>IF(I3=0,"",N3/I3)</f>
        <v/>
      </c>
    </row>
    <row r="4">
      <c r="A4" s="22" t="inlineStr">
        <is>
          <t>Oferta Dólar - Vídeo</t>
        </is>
      </c>
      <c r="B4" s="22" t="inlineStr">
        <is>
          <t>Programa Z</t>
        </is>
      </c>
      <c r="C4" s="22" t="inlineStr">
        <is>
          <t>ClickBank</t>
        </is>
      </c>
      <c r="D4" s="22" t="inlineStr">
        <is>
          <t>Vídeo</t>
        </is>
      </c>
      <c r="E4" s="20" t="inlineStr">
        <is>
          <t>2026-08-25</t>
        </is>
      </c>
      <c r="F4" s="28" t="n">
        <v>40</v>
      </c>
      <c r="G4" s="28" t="n">
        <v>860</v>
      </c>
      <c r="H4" s="29" t="n">
        <v>65000</v>
      </c>
      <c r="I4" s="29" t="n">
        <v>2100</v>
      </c>
      <c r="J4" s="30">
        <f>IF(H4=0,"",I4/H4)</f>
        <v/>
      </c>
      <c r="K4" s="31">
        <f>IF(I4=0,"",G4/I4)</f>
        <v/>
      </c>
      <c r="L4" s="22">
        <f>COUNTIFS('Vendas (Conversões)'!$C$2:$C$400,A4,'Vendas (Conversões)'!$G$2:$G$400,"Aprovada")</f>
        <v/>
      </c>
      <c r="M4" s="23">
        <f>SUMIFS('Vendas (Conversões)'!$F$2:$F$400,'Vendas (Conversões)'!$C$2:$C$400,A4,'Vendas (Conversões)'!$G$2:$G$400,"Aprovada")</f>
        <v/>
      </c>
      <c r="N4" s="31">
        <f>M4*Dashboard!$B$6</f>
        <v/>
      </c>
      <c r="O4" s="28">
        <f>IF(L4=0,"",G4/L4)</f>
        <v/>
      </c>
      <c r="P4" s="32">
        <f>IF(G4=0,"",(N4-G4)/G4)</f>
        <v/>
      </c>
      <c r="Q4" s="31">
        <f>IF(I4=0,"",N4/I4)</f>
        <v/>
      </c>
    </row>
    <row r="5">
      <c r="A5" s="33" t="n"/>
      <c r="B5" s="33" t="n"/>
      <c r="C5" s="33" t="n"/>
      <c r="D5" s="33" t="n"/>
      <c r="E5" s="34" t="n"/>
      <c r="F5" s="35" t="n"/>
      <c r="G5" s="35" t="n"/>
      <c r="H5" s="36" t="n"/>
      <c r="I5" s="36" t="n"/>
      <c r="J5" s="37">
        <f>IF(H5=0,"",I5/H5)</f>
        <v/>
      </c>
      <c r="K5" s="38">
        <f>IF(I5=0,"",G5/I5)</f>
        <v/>
      </c>
      <c r="L5" s="14">
        <f>IF(A5="","",COUNTIFS('Vendas (Conversões)'!$C$2:$C$400,A5,'Vendas (Conversões)'!$G$2:$G$400,"Aprovada"))</f>
        <v/>
      </c>
      <c r="M5" s="39">
        <f>IF(A5="","",SUMIFS('Vendas (Conversões)'!$F$2:$F$400,'Vendas (Conversões)'!$C$2:$C$400,A5,'Vendas (Conversões)'!$G$2:$G$400,"Aprovada"))</f>
        <v/>
      </c>
      <c r="N5" s="38">
        <f>IF(M5="","",M5*Dashboard!$B$6)</f>
        <v/>
      </c>
      <c r="O5" s="40">
        <f>IF(OR(L5="",L5=0),"",G5/L5)</f>
        <v/>
      </c>
      <c r="P5" s="41">
        <f>IF(OR(G5="",G5=0),"",(N5-G5)/G5)</f>
        <v/>
      </c>
      <c r="Q5" s="38">
        <f>IF(OR(I5="",I5=0),"",N5/I5)</f>
        <v/>
      </c>
    </row>
    <row r="6">
      <c r="A6" s="33" t="n"/>
      <c r="B6" s="33" t="n"/>
      <c r="C6" s="33" t="n"/>
      <c r="D6" s="33" t="n"/>
      <c r="E6" s="34" t="n"/>
      <c r="F6" s="35" t="n"/>
      <c r="G6" s="35" t="n"/>
      <c r="H6" s="36" t="n"/>
      <c r="I6" s="36" t="n"/>
      <c r="J6" s="37">
        <f>IF(H6=0,"",I6/H6)</f>
        <v/>
      </c>
      <c r="K6" s="38">
        <f>IF(I6=0,"",G6/I6)</f>
        <v/>
      </c>
      <c r="L6" s="14">
        <f>IF(A6="","",COUNTIFS('Vendas (Conversões)'!$C$2:$C$400,A6,'Vendas (Conversões)'!$G$2:$G$400,"Aprovada"))</f>
        <v/>
      </c>
      <c r="M6" s="39">
        <f>IF(A6="","",SUMIFS('Vendas (Conversões)'!$F$2:$F$400,'Vendas (Conversões)'!$C$2:$C$400,A6,'Vendas (Conversões)'!$G$2:$G$400,"Aprovada"))</f>
        <v/>
      </c>
      <c r="N6" s="38">
        <f>IF(M6="","",M6*Dashboard!$B$6)</f>
        <v/>
      </c>
      <c r="O6" s="40">
        <f>IF(OR(L6="",L6=0),"",G6/L6)</f>
        <v/>
      </c>
      <c r="P6" s="41">
        <f>IF(OR(G6="",G6=0),"",(N6-G6)/G6)</f>
        <v/>
      </c>
      <c r="Q6" s="38">
        <f>IF(OR(I6="",I6=0),"",N6/I6)</f>
        <v/>
      </c>
    </row>
    <row r="7">
      <c r="A7" s="33" t="n"/>
      <c r="B7" s="33" t="n"/>
      <c r="C7" s="33" t="n"/>
      <c r="D7" s="33" t="n"/>
      <c r="E7" s="34" t="n"/>
      <c r="F7" s="35" t="n"/>
      <c r="G7" s="35" t="n"/>
      <c r="H7" s="36" t="n"/>
      <c r="I7" s="36" t="n"/>
      <c r="J7" s="37">
        <f>IF(H7=0,"",I7/H7)</f>
        <v/>
      </c>
      <c r="K7" s="38">
        <f>IF(I7=0,"",G7/I7)</f>
        <v/>
      </c>
      <c r="L7" s="14">
        <f>IF(A7="","",COUNTIFS('Vendas (Conversões)'!$C$2:$C$400,A7,'Vendas (Conversões)'!$G$2:$G$400,"Aprovada"))</f>
        <v/>
      </c>
      <c r="M7" s="39">
        <f>IF(A7="","",SUMIFS('Vendas (Conversões)'!$F$2:$F$400,'Vendas (Conversões)'!$C$2:$C$400,A7,'Vendas (Conversões)'!$G$2:$G$400,"Aprovada"))</f>
        <v/>
      </c>
      <c r="N7" s="38">
        <f>IF(M7="","",M7*Dashboard!$B$6)</f>
        <v/>
      </c>
      <c r="O7" s="40">
        <f>IF(OR(L7="",L7=0),"",G7/L7)</f>
        <v/>
      </c>
      <c r="P7" s="41">
        <f>IF(OR(G7="",G7=0),"",(N7-G7)/G7)</f>
        <v/>
      </c>
      <c r="Q7" s="38">
        <f>IF(OR(I7="",I7=0),"",N7/I7)</f>
        <v/>
      </c>
    </row>
    <row r="8">
      <c r="A8" s="33" t="n"/>
      <c r="B8" s="33" t="n"/>
      <c r="C8" s="33" t="n"/>
      <c r="D8" s="33" t="n"/>
      <c r="E8" s="34" t="n"/>
      <c r="F8" s="35" t="n"/>
      <c r="G8" s="35" t="n"/>
      <c r="H8" s="36" t="n"/>
      <c r="I8" s="36" t="n"/>
      <c r="J8" s="37">
        <f>IF(H8=0,"",I8/H8)</f>
        <v/>
      </c>
      <c r="K8" s="38">
        <f>IF(I8=0,"",G8/I8)</f>
        <v/>
      </c>
      <c r="L8" s="14">
        <f>IF(A8="","",COUNTIFS('Vendas (Conversões)'!$C$2:$C$400,A8,'Vendas (Conversões)'!$G$2:$G$400,"Aprovada"))</f>
        <v/>
      </c>
      <c r="M8" s="39">
        <f>IF(A8="","",SUMIFS('Vendas (Conversões)'!$F$2:$F$400,'Vendas (Conversões)'!$C$2:$C$400,A8,'Vendas (Conversões)'!$G$2:$G$400,"Aprovada"))</f>
        <v/>
      </c>
      <c r="N8" s="38">
        <f>IF(M8="","",M8*Dashboard!$B$6)</f>
        <v/>
      </c>
      <c r="O8" s="40">
        <f>IF(OR(L8="",L8=0),"",G8/L8)</f>
        <v/>
      </c>
      <c r="P8" s="41">
        <f>IF(OR(G8="",G8=0),"",(N8-G8)/G8)</f>
        <v/>
      </c>
      <c r="Q8" s="38">
        <f>IF(OR(I8="",I8=0),"",N8/I8)</f>
        <v/>
      </c>
    </row>
    <row r="9">
      <c r="A9" s="33" t="n"/>
      <c r="B9" s="33" t="n"/>
      <c r="C9" s="33" t="n"/>
      <c r="D9" s="33" t="n"/>
      <c r="E9" s="34" t="n"/>
      <c r="F9" s="35" t="n"/>
      <c r="G9" s="35" t="n"/>
      <c r="H9" s="36" t="n"/>
      <c r="I9" s="36" t="n"/>
      <c r="J9" s="37">
        <f>IF(H9=0,"",I9/H9)</f>
        <v/>
      </c>
      <c r="K9" s="38">
        <f>IF(I9=0,"",G9/I9)</f>
        <v/>
      </c>
      <c r="L9" s="14">
        <f>IF(A9="","",COUNTIFS('Vendas (Conversões)'!$C$2:$C$400,A9,'Vendas (Conversões)'!$G$2:$G$400,"Aprovada"))</f>
        <v/>
      </c>
      <c r="M9" s="39">
        <f>IF(A9="","",SUMIFS('Vendas (Conversões)'!$F$2:$F$400,'Vendas (Conversões)'!$C$2:$C$400,A9,'Vendas (Conversões)'!$G$2:$G$400,"Aprovada"))</f>
        <v/>
      </c>
      <c r="N9" s="38">
        <f>IF(M9="","",M9*Dashboard!$B$6)</f>
        <v/>
      </c>
      <c r="O9" s="40">
        <f>IF(OR(L9="",L9=0),"",G9/L9)</f>
        <v/>
      </c>
      <c r="P9" s="41">
        <f>IF(OR(G9="",G9=0),"",(N9-G9)/G9)</f>
        <v/>
      </c>
      <c r="Q9" s="38">
        <f>IF(OR(I9="",I9=0),"",N9/I9)</f>
        <v/>
      </c>
    </row>
    <row r="10">
      <c r="A10" s="33" t="n"/>
      <c r="B10" s="33" t="n"/>
      <c r="C10" s="33" t="n"/>
      <c r="D10" s="33" t="n"/>
      <c r="E10" s="34" t="n"/>
      <c r="F10" s="35" t="n"/>
      <c r="G10" s="35" t="n"/>
      <c r="H10" s="36" t="n"/>
      <c r="I10" s="36" t="n"/>
      <c r="J10" s="37">
        <f>IF(H10=0,"",I10/H10)</f>
        <v/>
      </c>
      <c r="K10" s="38">
        <f>IF(I10=0,"",G10/I10)</f>
        <v/>
      </c>
      <c r="L10" s="14">
        <f>IF(A10="","",COUNTIFS('Vendas (Conversões)'!$C$2:$C$400,A10,'Vendas (Conversões)'!$G$2:$G$400,"Aprovada"))</f>
        <v/>
      </c>
      <c r="M10" s="39">
        <f>IF(A10="","",SUMIFS('Vendas (Conversões)'!$F$2:$F$400,'Vendas (Conversões)'!$C$2:$C$400,A10,'Vendas (Conversões)'!$G$2:$G$400,"Aprovada"))</f>
        <v/>
      </c>
      <c r="N10" s="38">
        <f>IF(M10="","",M10*Dashboard!$B$6)</f>
        <v/>
      </c>
      <c r="O10" s="40">
        <f>IF(OR(L10="",L10=0),"",G10/L10)</f>
        <v/>
      </c>
      <c r="P10" s="41">
        <f>IF(OR(G10="",G10=0),"",(N10-G10)/G10)</f>
        <v/>
      </c>
      <c r="Q10" s="38">
        <f>IF(OR(I10="",I10=0),"",N10/I10)</f>
        <v/>
      </c>
    </row>
    <row r="11">
      <c r="A11" s="33" t="n"/>
      <c r="B11" s="33" t="n"/>
      <c r="C11" s="33" t="n"/>
      <c r="D11" s="33" t="n"/>
      <c r="E11" s="34" t="n"/>
      <c r="F11" s="35" t="n"/>
      <c r="G11" s="35" t="n"/>
      <c r="H11" s="36" t="n"/>
      <c r="I11" s="36" t="n"/>
      <c r="J11" s="37">
        <f>IF(H11=0,"",I11/H11)</f>
        <v/>
      </c>
      <c r="K11" s="38">
        <f>IF(I11=0,"",G11/I11)</f>
        <v/>
      </c>
      <c r="L11" s="14">
        <f>IF(A11="","",COUNTIFS('Vendas (Conversões)'!$C$2:$C$400,A11,'Vendas (Conversões)'!$G$2:$G$400,"Aprovada"))</f>
        <v/>
      </c>
      <c r="M11" s="39">
        <f>IF(A11="","",SUMIFS('Vendas (Conversões)'!$F$2:$F$400,'Vendas (Conversões)'!$C$2:$C$400,A11,'Vendas (Conversões)'!$G$2:$G$400,"Aprovada"))</f>
        <v/>
      </c>
      <c r="N11" s="38">
        <f>IF(M11="","",M11*Dashboard!$B$6)</f>
        <v/>
      </c>
      <c r="O11" s="40">
        <f>IF(OR(L11="",L11=0),"",G11/L11)</f>
        <v/>
      </c>
      <c r="P11" s="41">
        <f>IF(OR(G11="",G11=0),"",(N11-G11)/G11)</f>
        <v/>
      </c>
      <c r="Q11" s="38">
        <f>IF(OR(I11="",I11=0),"",N11/I11)</f>
        <v/>
      </c>
    </row>
    <row r="12">
      <c r="A12" s="33" t="n"/>
      <c r="B12" s="33" t="n"/>
      <c r="C12" s="33" t="n"/>
      <c r="D12" s="33" t="n"/>
      <c r="E12" s="34" t="n"/>
      <c r="F12" s="35" t="n"/>
      <c r="G12" s="35" t="n"/>
      <c r="H12" s="36" t="n"/>
      <c r="I12" s="36" t="n"/>
      <c r="J12" s="37">
        <f>IF(H12=0,"",I12/H12)</f>
        <v/>
      </c>
      <c r="K12" s="38">
        <f>IF(I12=0,"",G12/I12)</f>
        <v/>
      </c>
      <c r="L12" s="14">
        <f>IF(A12="","",COUNTIFS('Vendas (Conversões)'!$C$2:$C$400,A12,'Vendas (Conversões)'!$G$2:$G$400,"Aprovada"))</f>
        <v/>
      </c>
      <c r="M12" s="39">
        <f>IF(A12="","",SUMIFS('Vendas (Conversões)'!$F$2:$F$400,'Vendas (Conversões)'!$C$2:$C$400,A12,'Vendas (Conversões)'!$G$2:$G$400,"Aprovada"))</f>
        <v/>
      </c>
      <c r="N12" s="38">
        <f>IF(M12="","",M12*Dashboard!$B$6)</f>
        <v/>
      </c>
      <c r="O12" s="40">
        <f>IF(OR(L12="",L12=0),"",G12/L12)</f>
        <v/>
      </c>
      <c r="P12" s="41">
        <f>IF(OR(G12="",G12=0),"",(N12-G12)/G12)</f>
        <v/>
      </c>
      <c r="Q12" s="38">
        <f>IF(OR(I12="",I12=0),"",N12/I12)</f>
        <v/>
      </c>
    </row>
    <row r="13">
      <c r="A13" s="33" t="n"/>
      <c r="B13" s="33" t="n"/>
      <c r="C13" s="33" t="n"/>
      <c r="D13" s="33" t="n"/>
      <c r="E13" s="34" t="n"/>
      <c r="F13" s="35" t="n"/>
      <c r="G13" s="35" t="n"/>
      <c r="H13" s="36" t="n"/>
      <c r="I13" s="36" t="n"/>
      <c r="J13" s="37">
        <f>IF(H13=0,"",I13/H13)</f>
        <v/>
      </c>
      <c r="K13" s="38">
        <f>IF(I13=0,"",G13/I13)</f>
        <v/>
      </c>
      <c r="L13" s="14">
        <f>IF(A13="","",COUNTIFS('Vendas (Conversões)'!$C$2:$C$400,A13,'Vendas (Conversões)'!$G$2:$G$400,"Aprovada"))</f>
        <v/>
      </c>
      <c r="M13" s="39">
        <f>IF(A13="","",SUMIFS('Vendas (Conversões)'!$F$2:$F$400,'Vendas (Conversões)'!$C$2:$C$400,A13,'Vendas (Conversões)'!$G$2:$G$400,"Aprovada"))</f>
        <v/>
      </c>
      <c r="N13" s="38">
        <f>IF(M13="","",M13*Dashboard!$B$6)</f>
        <v/>
      </c>
      <c r="O13" s="40">
        <f>IF(OR(L13="",L13=0),"",G13/L13)</f>
        <v/>
      </c>
      <c r="P13" s="41">
        <f>IF(OR(G13="",G13=0),"",(N13-G13)/G13)</f>
        <v/>
      </c>
      <c r="Q13" s="38">
        <f>IF(OR(I13="",I13=0),"",N13/I13)</f>
        <v/>
      </c>
    </row>
    <row r="14">
      <c r="A14" s="33" t="n"/>
      <c r="B14" s="33" t="n"/>
      <c r="C14" s="33" t="n"/>
      <c r="D14" s="33" t="n"/>
      <c r="E14" s="34" t="n"/>
      <c r="F14" s="35" t="n"/>
      <c r="G14" s="35" t="n"/>
      <c r="H14" s="36" t="n"/>
      <c r="I14" s="36" t="n"/>
      <c r="J14" s="37">
        <f>IF(H14=0,"",I14/H14)</f>
        <v/>
      </c>
      <c r="K14" s="38">
        <f>IF(I14=0,"",G14/I14)</f>
        <v/>
      </c>
      <c r="L14" s="14">
        <f>IF(A14="","",COUNTIFS('Vendas (Conversões)'!$C$2:$C$400,A14,'Vendas (Conversões)'!$G$2:$G$400,"Aprovada"))</f>
        <v/>
      </c>
      <c r="M14" s="39">
        <f>IF(A14="","",SUMIFS('Vendas (Conversões)'!$F$2:$F$400,'Vendas (Conversões)'!$C$2:$C$400,A14,'Vendas (Conversões)'!$G$2:$G$400,"Aprovada"))</f>
        <v/>
      </c>
      <c r="N14" s="38">
        <f>IF(M14="","",M14*Dashboard!$B$6)</f>
        <v/>
      </c>
      <c r="O14" s="40">
        <f>IF(OR(L14="",L14=0),"",G14/L14)</f>
        <v/>
      </c>
      <c r="P14" s="41">
        <f>IF(OR(G14="",G14=0),"",(N14-G14)/G14)</f>
        <v/>
      </c>
      <c r="Q14" s="38">
        <f>IF(OR(I14="",I14=0),"",N14/I14)</f>
        <v/>
      </c>
    </row>
    <row r="15">
      <c r="A15" s="33" t="n"/>
      <c r="B15" s="33" t="n"/>
      <c r="C15" s="33" t="n"/>
      <c r="D15" s="33" t="n"/>
      <c r="E15" s="34" t="n"/>
      <c r="F15" s="35" t="n"/>
      <c r="G15" s="35" t="n"/>
      <c r="H15" s="36" t="n"/>
      <c r="I15" s="36" t="n"/>
      <c r="J15" s="37">
        <f>IF(H15=0,"",I15/H15)</f>
        <v/>
      </c>
      <c r="K15" s="38">
        <f>IF(I15=0,"",G15/I15)</f>
        <v/>
      </c>
      <c r="L15" s="14">
        <f>IF(A15="","",COUNTIFS('Vendas (Conversões)'!$C$2:$C$400,A15,'Vendas (Conversões)'!$G$2:$G$400,"Aprovada"))</f>
        <v/>
      </c>
      <c r="M15" s="39">
        <f>IF(A15="","",SUMIFS('Vendas (Conversões)'!$F$2:$F$400,'Vendas (Conversões)'!$C$2:$C$400,A15,'Vendas (Conversões)'!$G$2:$G$400,"Aprovada"))</f>
        <v/>
      </c>
      <c r="N15" s="38">
        <f>IF(M15="","",M15*Dashboard!$B$6)</f>
        <v/>
      </c>
      <c r="O15" s="40">
        <f>IF(OR(L15="",L15=0),"",G15/L15)</f>
        <v/>
      </c>
      <c r="P15" s="41">
        <f>IF(OR(G15="",G15=0),"",(N15-G15)/G15)</f>
        <v/>
      </c>
      <c r="Q15" s="38">
        <f>IF(OR(I15="",I15=0),"",N15/I15)</f>
        <v/>
      </c>
    </row>
    <row r="16">
      <c r="A16" s="33" t="n"/>
      <c r="B16" s="33" t="n"/>
      <c r="C16" s="33" t="n"/>
      <c r="D16" s="33" t="n"/>
      <c r="E16" s="34" t="n"/>
      <c r="F16" s="35" t="n"/>
      <c r="G16" s="35" t="n"/>
      <c r="H16" s="36" t="n"/>
      <c r="I16" s="36" t="n"/>
      <c r="J16" s="37">
        <f>IF(H16=0,"",I16/H16)</f>
        <v/>
      </c>
      <c r="K16" s="38">
        <f>IF(I16=0,"",G16/I16)</f>
        <v/>
      </c>
      <c r="L16" s="14">
        <f>IF(A16="","",COUNTIFS('Vendas (Conversões)'!$C$2:$C$400,A16,'Vendas (Conversões)'!$G$2:$G$400,"Aprovada"))</f>
        <v/>
      </c>
      <c r="M16" s="39">
        <f>IF(A16="","",SUMIFS('Vendas (Conversões)'!$F$2:$F$400,'Vendas (Conversões)'!$C$2:$C$400,A16,'Vendas (Conversões)'!$G$2:$G$400,"Aprovada"))</f>
        <v/>
      </c>
      <c r="N16" s="38">
        <f>IF(M16="","",M16*Dashboard!$B$6)</f>
        <v/>
      </c>
      <c r="O16" s="40">
        <f>IF(OR(L16="",L16=0),"",G16/L16)</f>
        <v/>
      </c>
      <c r="P16" s="41">
        <f>IF(OR(G16="",G16=0),"",(N16-G16)/G16)</f>
        <v/>
      </c>
      <c r="Q16" s="38">
        <f>IF(OR(I16="",I16=0),"",N16/I16)</f>
        <v/>
      </c>
    </row>
    <row r="17">
      <c r="A17" s="33" t="n"/>
      <c r="B17" s="33" t="n"/>
      <c r="C17" s="33" t="n"/>
      <c r="D17" s="33" t="n"/>
      <c r="E17" s="34" t="n"/>
      <c r="F17" s="35" t="n"/>
      <c r="G17" s="35" t="n"/>
      <c r="H17" s="36" t="n"/>
      <c r="I17" s="36" t="n"/>
      <c r="J17" s="37">
        <f>IF(H17=0,"",I17/H17)</f>
        <v/>
      </c>
      <c r="K17" s="38">
        <f>IF(I17=0,"",G17/I17)</f>
        <v/>
      </c>
      <c r="L17" s="14">
        <f>IF(A17="","",COUNTIFS('Vendas (Conversões)'!$C$2:$C$400,A17,'Vendas (Conversões)'!$G$2:$G$400,"Aprovada"))</f>
        <v/>
      </c>
      <c r="M17" s="39">
        <f>IF(A17="","",SUMIFS('Vendas (Conversões)'!$F$2:$F$400,'Vendas (Conversões)'!$C$2:$C$400,A17,'Vendas (Conversões)'!$G$2:$G$400,"Aprovada"))</f>
        <v/>
      </c>
      <c r="N17" s="38">
        <f>IF(M17="","",M17*Dashboard!$B$6)</f>
        <v/>
      </c>
      <c r="O17" s="40">
        <f>IF(OR(L17="",L17=0),"",G17/L17)</f>
        <v/>
      </c>
      <c r="P17" s="41">
        <f>IF(OR(G17="",G17=0),"",(N17-G17)/G17)</f>
        <v/>
      </c>
      <c r="Q17" s="38">
        <f>IF(OR(I17="",I17=0),"",N17/I17)</f>
        <v/>
      </c>
    </row>
    <row r="18">
      <c r="A18" s="33" t="n"/>
      <c r="B18" s="33" t="n"/>
      <c r="C18" s="33" t="n"/>
      <c r="D18" s="33" t="n"/>
      <c r="E18" s="34" t="n"/>
      <c r="F18" s="35" t="n"/>
      <c r="G18" s="35" t="n"/>
      <c r="H18" s="36" t="n"/>
      <c r="I18" s="36" t="n"/>
      <c r="J18" s="37">
        <f>IF(H18=0,"",I18/H18)</f>
        <v/>
      </c>
      <c r="K18" s="38">
        <f>IF(I18=0,"",G18/I18)</f>
        <v/>
      </c>
      <c r="L18" s="14">
        <f>IF(A18="","",COUNTIFS('Vendas (Conversões)'!$C$2:$C$400,A18,'Vendas (Conversões)'!$G$2:$G$400,"Aprovada"))</f>
        <v/>
      </c>
      <c r="M18" s="39">
        <f>IF(A18="","",SUMIFS('Vendas (Conversões)'!$F$2:$F$400,'Vendas (Conversões)'!$C$2:$C$400,A18,'Vendas (Conversões)'!$G$2:$G$400,"Aprovada"))</f>
        <v/>
      </c>
      <c r="N18" s="38">
        <f>IF(M18="","",M18*Dashboard!$B$6)</f>
        <v/>
      </c>
      <c r="O18" s="40">
        <f>IF(OR(L18="",L18=0),"",G18/L18)</f>
        <v/>
      </c>
      <c r="P18" s="41">
        <f>IF(OR(G18="",G18=0),"",(N18-G18)/G18)</f>
        <v/>
      </c>
      <c r="Q18" s="38">
        <f>IF(OR(I18="",I18=0),"",N18/I18)</f>
        <v/>
      </c>
    </row>
    <row r="19">
      <c r="A19" s="33" t="n"/>
      <c r="B19" s="33" t="n"/>
      <c r="C19" s="33" t="n"/>
      <c r="D19" s="33" t="n"/>
      <c r="E19" s="34" t="n"/>
      <c r="F19" s="35" t="n"/>
      <c r="G19" s="35" t="n"/>
      <c r="H19" s="36" t="n"/>
      <c r="I19" s="36" t="n"/>
      <c r="J19" s="37">
        <f>IF(H19=0,"",I19/H19)</f>
        <v/>
      </c>
      <c r="K19" s="38">
        <f>IF(I19=0,"",G19/I19)</f>
        <v/>
      </c>
      <c r="L19" s="14">
        <f>IF(A19="","",COUNTIFS('Vendas (Conversões)'!$C$2:$C$400,A19,'Vendas (Conversões)'!$G$2:$G$400,"Aprovada"))</f>
        <v/>
      </c>
      <c r="M19" s="39">
        <f>IF(A19="","",SUMIFS('Vendas (Conversões)'!$F$2:$F$400,'Vendas (Conversões)'!$C$2:$C$400,A19,'Vendas (Conversões)'!$G$2:$G$400,"Aprovada"))</f>
        <v/>
      </c>
      <c r="N19" s="38">
        <f>IF(M19="","",M19*Dashboard!$B$6)</f>
        <v/>
      </c>
      <c r="O19" s="40">
        <f>IF(OR(L19="",L19=0),"",G19/L19)</f>
        <v/>
      </c>
      <c r="P19" s="41">
        <f>IF(OR(G19="",G19=0),"",(N19-G19)/G19)</f>
        <v/>
      </c>
      <c r="Q19" s="38">
        <f>IF(OR(I19="",I19=0),"",N19/I19)</f>
        <v/>
      </c>
    </row>
    <row r="20">
      <c r="A20" s="33" t="n"/>
      <c r="B20" s="33" t="n"/>
      <c r="C20" s="33" t="n"/>
      <c r="D20" s="33" t="n"/>
      <c r="E20" s="34" t="n"/>
      <c r="F20" s="35" t="n"/>
      <c r="G20" s="35" t="n"/>
      <c r="H20" s="36" t="n"/>
      <c r="I20" s="36" t="n"/>
      <c r="J20" s="37">
        <f>IF(H20=0,"",I20/H20)</f>
        <v/>
      </c>
      <c r="K20" s="38">
        <f>IF(I20=0,"",G20/I20)</f>
        <v/>
      </c>
      <c r="L20" s="14">
        <f>IF(A20="","",COUNTIFS('Vendas (Conversões)'!$C$2:$C$400,A20,'Vendas (Conversões)'!$G$2:$G$400,"Aprovada"))</f>
        <v/>
      </c>
      <c r="M20" s="39">
        <f>IF(A20="","",SUMIFS('Vendas (Conversões)'!$F$2:$F$400,'Vendas (Conversões)'!$C$2:$C$400,A20,'Vendas (Conversões)'!$G$2:$G$400,"Aprovada"))</f>
        <v/>
      </c>
      <c r="N20" s="38">
        <f>IF(M20="","",M20*Dashboard!$B$6)</f>
        <v/>
      </c>
      <c r="O20" s="40">
        <f>IF(OR(L20="",L20=0),"",G20/L20)</f>
        <v/>
      </c>
      <c r="P20" s="41">
        <f>IF(OR(G20="",G20=0),"",(N20-G20)/G20)</f>
        <v/>
      </c>
      <c r="Q20" s="38">
        <f>IF(OR(I20="",I20=0),"",N20/I20)</f>
        <v/>
      </c>
    </row>
    <row r="21">
      <c r="A21" s="33" t="n"/>
      <c r="B21" s="33" t="n"/>
      <c r="C21" s="33" t="n"/>
      <c r="D21" s="33" t="n"/>
      <c r="E21" s="34" t="n"/>
      <c r="F21" s="35" t="n"/>
      <c r="G21" s="35" t="n"/>
      <c r="H21" s="36" t="n"/>
      <c r="I21" s="36" t="n"/>
      <c r="J21" s="37">
        <f>IF(H21=0,"",I21/H21)</f>
        <v/>
      </c>
      <c r="K21" s="38">
        <f>IF(I21=0,"",G21/I21)</f>
        <v/>
      </c>
      <c r="L21" s="14">
        <f>IF(A21="","",COUNTIFS('Vendas (Conversões)'!$C$2:$C$400,A21,'Vendas (Conversões)'!$G$2:$G$400,"Aprovada"))</f>
        <v/>
      </c>
      <c r="M21" s="39">
        <f>IF(A21="","",SUMIFS('Vendas (Conversões)'!$F$2:$F$400,'Vendas (Conversões)'!$C$2:$C$400,A21,'Vendas (Conversões)'!$G$2:$G$400,"Aprovada"))</f>
        <v/>
      </c>
      <c r="N21" s="38">
        <f>IF(M21="","",M21*Dashboard!$B$6)</f>
        <v/>
      </c>
      <c r="O21" s="40">
        <f>IF(OR(L21="",L21=0),"",G21/L21)</f>
        <v/>
      </c>
      <c r="P21" s="41">
        <f>IF(OR(G21="",G21=0),"",(N21-G21)/G21)</f>
        <v/>
      </c>
      <c r="Q21" s="38">
        <f>IF(OR(I21="",I21=0),"",N21/I21)</f>
        <v/>
      </c>
    </row>
    <row r="22">
      <c r="A22" s="33" t="n"/>
      <c r="B22" s="33" t="n"/>
      <c r="C22" s="33" t="n"/>
      <c r="D22" s="33" t="n"/>
      <c r="E22" s="34" t="n"/>
      <c r="F22" s="35" t="n"/>
      <c r="G22" s="35" t="n"/>
      <c r="H22" s="36" t="n"/>
      <c r="I22" s="36" t="n"/>
      <c r="J22" s="37">
        <f>IF(H22=0,"",I22/H22)</f>
        <v/>
      </c>
      <c r="K22" s="38">
        <f>IF(I22=0,"",G22/I22)</f>
        <v/>
      </c>
      <c r="L22" s="14">
        <f>IF(A22="","",COUNTIFS('Vendas (Conversões)'!$C$2:$C$400,A22,'Vendas (Conversões)'!$G$2:$G$400,"Aprovada"))</f>
        <v/>
      </c>
      <c r="M22" s="39">
        <f>IF(A22="","",SUMIFS('Vendas (Conversões)'!$F$2:$F$400,'Vendas (Conversões)'!$C$2:$C$400,A22,'Vendas (Conversões)'!$G$2:$G$400,"Aprovada"))</f>
        <v/>
      </c>
      <c r="N22" s="38">
        <f>IF(M22="","",M22*Dashboard!$B$6)</f>
        <v/>
      </c>
      <c r="O22" s="40">
        <f>IF(OR(L22="",L22=0),"",G22/L22)</f>
        <v/>
      </c>
      <c r="P22" s="41">
        <f>IF(OR(G22="",G22=0),"",(N22-G22)/G22)</f>
        <v/>
      </c>
      <c r="Q22" s="38">
        <f>IF(OR(I22="",I22=0),"",N22/I22)</f>
        <v/>
      </c>
    </row>
    <row r="23">
      <c r="A23" s="33" t="n"/>
      <c r="B23" s="33" t="n"/>
      <c r="C23" s="33" t="n"/>
      <c r="D23" s="33" t="n"/>
      <c r="E23" s="34" t="n"/>
      <c r="F23" s="35" t="n"/>
      <c r="G23" s="35" t="n"/>
      <c r="H23" s="36" t="n"/>
      <c r="I23" s="36" t="n"/>
      <c r="J23" s="37">
        <f>IF(H23=0,"",I23/H23)</f>
        <v/>
      </c>
      <c r="K23" s="38">
        <f>IF(I23=0,"",G23/I23)</f>
        <v/>
      </c>
      <c r="L23" s="14">
        <f>IF(A23="","",COUNTIFS('Vendas (Conversões)'!$C$2:$C$400,A23,'Vendas (Conversões)'!$G$2:$G$400,"Aprovada"))</f>
        <v/>
      </c>
      <c r="M23" s="39">
        <f>IF(A23="","",SUMIFS('Vendas (Conversões)'!$F$2:$F$400,'Vendas (Conversões)'!$C$2:$C$400,A23,'Vendas (Conversões)'!$G$2:$G$400,"Aprovada"))</f>
        <v/>
      </c>
      <c r="N23" s="38">
        <f>IF(M23="","",M23*Dashboard!$B$6)</f>
        <v/>
      </c>
      <c r="O23" s="40">
        <f>IF(OR(L23="",L23=0),"",G23/L23)</f>
        <v/>
      </c>
      <c r="P23" s="41">
        <f>IF(OR(G23="",G23=0),"",(N23-G23)/G23)</f>
        <v/>
      </c>
      <c r="Q23" s="38">
        <f>IF(OR(I23="",I23=0),"",N23/I23)</f>
        <v/>
      </c>
    </row>
    <row r="24">
      <c r="A24" s="33" t="n"/>
      <c r="B24" s="33" t="n"/>
      <c r="C24" s="33" t="n"/>
      <c r="D24" s="33" t="n"/>
      <c r="E24" s="34" t="n"/>
      <c r="F24" s="35" t="n"/>
      <c r="G24" s="35" t="n"/>
      <c r="H24" s="36" t="n"/>
      <c r="I24" s="36" t="n"/>
      <c r="J24" s="37">
        <f>IF(H24=0,"",I24/H24)</f>
        <v/>
      </c>
      <c r="K24" s="38">
        <f>IF(I24=0,"",G24/I24)</f>
        <v/>
      </c>
      <c r="L24" s="14">
        <f>IF(A24="","",COUNTIFS('Vendas (Conversões)'!$C$2:$C$400,A24,'Vendas (Conversões)'!$G$2:$G$400,"Aprovada"))</f>
        <v/>
      </c>
      <c r="M24" s="39">
        <f>IF(A24="","",SUMIFS('Vendas (Conversões)'!$F$2:$F$400,'Vendas (Conversões)'!$C$2:$C$400,A24,'Vendas (Conversões)'!$G$2:$G$400,"Aprovada"))</f>
        <v/>
      </c>
      <c r="N24" s="38">
        <f>IF(M24="","",M24*Dashboard!$B$6)</f>
        <v/>
      </c>
      <c r="O24" s="40">
        <f>IF(OR(L24="",L24=0),"",G24/L24)</f>
        <v/>
      </c>
      <c r="P24" s="41">
        <f>IF(OR(G24="",G24=0),"",(N24-G24)/G24)</f>
        <v/>
      </c>
      <c r="Q24" s="38">
        <f>IF(OR(I24="",I24=0),"",N24/I24)</f>
        <v/>
      </c>
    </row>
    <row r="25">
      <c r="A25" s="33" t="n"/>
      <c r="B25" s="33" t="n"/>
      <c r="C25" s="33" t="n"/>
      <c r="D25" s="33" t="n"/>
      <c r="E25" s="34" t="n"/>
      <c r="F25" s="35" t="n"/>
      <c r="G25" s="35" t="n"/>
      <c r="H25" s="36" t="n"/>
      <c r="I25" s="36" t="n"/>
      <c r="J25" s="37">
        <f>IF(H25=0,"",I25/H25)</f>
        <v/>
      </c>
      <c r="K25" s="38">
        <f>IF(I25=0,"",G25/I25)</f>
        <v/>
      </c>
      <c r="L25" s="14">
        <f>IF(A25="","",COUNTIFS('Vendas (Conversões)'!$C$2:$C$400,A25,'Vendas (Conversões)'!$G$2:$G$400,"Aprovada"))</f>
        <v/>
      </c>
      <c r="M25" s="39">
        <f>IF(A25="","",SUMIFS('Vendas (Conversões)'!$F$2:$F$400,'Vendas (Conversões)'!$C$2:$C$400,A25,'Vendas (Conversões)'!$G$2:$G$400,"Aprovada"))</f>
        <v/>
      </c>
      <c r="N25" s="38">
        <f>IF(M25="","",M25*Dashboard!$B$6)</f>
        <v/>
      </c>
      <c r="O25" s="40">
        <f>IF(OR(L25="",L25=0),"",G25/L25)</f>
        <v/>
      </c>
      <c r="P25" s="41">
        <f>IF(OR(G25="",G25=0),"",(N25-G25)/G25)</f>
        <v/>
      </c>
      <c r="Q25" s="38">
        <f>IF(OR(I25="",I25=0),"",N25/I25)</f>
        <v/>
      </c>
    </row>
    <row r="26">
      <c r="A26" s="33" t="n"/>
      <c r="B26" s="33" t="n"/>
      <c r="C26" s="33" t="n"/>
      <c r="D26" s="33" t="n"/>
      <c r="E26" s="34" t="n"/>
      <c r="F26" s="35" t="n"/>
      <c r="G26" s="35" t="n"/>
      <c r="H26" s="36" t="n"/>
      <c r="I26" s="36" t="n"/>
      <c r="J26" s="37">
        <f>IF(H26=0,"",I26/H26)</f>
        <v/>
      </c>
      <c r="K26" s="38">
        <f>IF(I26=0,"",G26/I26)</f>
        <v/>
      </c>
      <c r="L26" s="14">
        <f>IF(A26="","",COUNTIFS('Vendas (Conversões)'!$C$2:$C$400,A26,'Vendas (Conversões)'!$G$2:$G$400,"Aprovada"))</f>
        <v/>
      </c>
      <c r="M26" s="39">
        <f>IF(A26="","",SUMIFS('Vendas (Conversões)'!$F$2:$F$400,'Vendas (Conversões)'!$C$2:$C$400,A26,'Vendas (Conversões)'!$G$2:$G$400,"Aprovada"))</f>
        <v/>
      </c>
      <c r="N26" s="38">
        <f>IF(M26="","",M26*Dashboard!$B$6)</f>
        <v/>
      </c>
      <c r="O26" s="40">
        <f>IF(OR(L26="",L26=0),"",G26/L26)</f>
        <v/>
      </c>
      <c r="P26" s="41">
        <f>IF(OR(G26="",G26=0),"",(N26-G26)/G26)</f>
        <v/>
      </c>
      <c r="Q26" s="38">
        <f>IF(OR(I26="",I26=0),"",N26/I26)</f>
        <v/>
      </c>
    </row>
    <row r="27">
      <c r="A27" s="33" t="n"/>
      <c r="B27" s="33" t="n"/>
      <c r="C27" s="33" t="n"/>
      <c r="D27" s="33" t="n"/>
      <c r="E27" s="34" t="n"/>
      <c r="F27" s="35" t="n"/>
      <c r="G27" s="35" t="n"/>
      <c r="H27" s="36" t="n"/>
      <c r="I27" s="36" t="n"/>
      <c r="J27" s="37">
        <f>IF(H27=0,"",I27/H27)</f>
        <v/>
      </c>
      <c r="K27" s="38">
        <f>IF(I27=0,"",G27/I27)</f>
        <v/>
      </c>
      <c r="L27" s="14">
        <f>IF(A27="","",COUNTIFS('Vendas (Conversões)'!$C$2:$C$400,A27,'Vendas (Conversões)'!$G$2:$G$400,"Aprovada"))</f>
        <v/>
      </c>
      <c r="M27" s="39">
        <f>IF(A27="","",SUMIFS('Vendas (Conversões)'!$F$2:$F$400,'Vendas (Conversões)'!$C$2:$C$400,A27,'Vendas (Conversões)'!$G$2:$G$400,"Aprovada"))</f>
        <v/>
      </c>
      <c r="N27" s="38">
        <f>IF(M27="","",M27*Dashboard!$B$6)</f>
        <v/>
      </c>
      <c r="O27" s="40">
        <f>IF(OR(L27="",L27=0),"",G27/L27)</f>
        <v/>
      </c>
      <c r="P27" s="41">
        <f>IF(OR(G27="",G27=0),"",(N27-G27)/G27)</f>
        <v/>
      </c>
      <c r="Q27" s="38">
        <f>IF(OR(I27="",I27=0),"",N27/I27)</f>
        <v/>
      </c>
    </row>
    <row r="28">
      <c r="A28" s="33" t="n"/>
      <c r="B28" s="33" t="n"/>
      <c r="C28" s="33" t="n"/>
      <c r="D28" s="33" t="n"/>
      <c r="E28" s="34" t="n"/>
      <c r="F28" s="35" t="n"/>
      <c r="G28" s="35" t="n"/>
      <c r="H28" s="36" t="n"/>
      <c r="I28" s="36" t="n"/>
      <c r="J28" s="37">
        <f>IF(H28=0,"",I28/H28)</f>
        <v/>
      </c>
      <c r="K28" s="38">
        <f>IF(I28=0,"",G28/I28)</f>
        <v/>
      </c>
      <c r="L28" s="14">
        <f>IF(A28="","",COUNTIFS('Vendas (Conversões)'!$C$2:$C$400,A28,'Vendas (Conversões)'!$G$2:$G$400,"Aprovada"))</f>
        <v/>
      </c>
      <c r="M28" s="39">
        <f>IF(A28="","",SUMIFS('Vendas (Conversões)'!$F$2:$F$400,'Vendas (Conversões)'!$C$2:$C$400,A28,'Vendas (Conversões)'!$G$2:$G$400,"Aprovada"))</f>
        <v/>
      </c>
      <c r="N28" s="38">
        <f>IF(M28="","",M28*Dashboard!$B$6)</f>
        <v/>
      </c>
      <c r="O28" s="40">
        <f>IF(OR(L28="",L28=0),"",G28/L28)</f>
        <v/>
      </c>
      <c r="P28" s="41">
        <f>IF(OR(G28="",G28=0),"",(N28-G28)/G28)</f>
        <v/>
      </c>
      <c r="Q28" s="38">
        <f>IF(OR(I28="",I28=0),"",N28/I28)</f>
        <v/>
      </c>
    </row>
    <row r="29">
      <c r="A29" s="33" t="n"/>
      <c r="B29" s="33" t="n"/>
      <c r="C29" s="33" t="n"/>
      <c r="D29" s="33" t="n"/>
      <c r="E29" s="34" t="n"/>
      <c r="F29" s="35" t="n"/>
      <c r="G29" s="35" t="n"/>
      <c r="H29" s="36" t="n"/>
      <c r="I29" s="36" t="n"/>
      <c r="J29" s="37">
        <f>IF(H29=0,"",I29/H29)</f>
        <v/>
      </c>
      <c r="K29" s="38">
        <f>IF(I29=0,"",G29/I29)</f>
        <v/>
      </c>
      <c r="L29" s="14">
        <f>IF(A29="","",COUNTIFS('Vendas (Conversões)'!$C$2:$C$400,A29,'Vendas (Conversões)'!$G$2:$G$400,"Aprovada"))</f>
        <v/>
      </c>
      <c r="M29" s="39">
        <f>IF(A29="","",SUMIFS('Vendas (Conversões)'!$F$2:$F$400,'Vendas (Conversões)'!$C$2:$C$400,A29,'Vendas (Conversões)'!$G$2:$G$400,"Aprovada"))</f>
        <v/>
      </c>
      <c r="N29" s="38">
        <f>IF(M29="","",M29*Dashboard!$B$6)</f>
        <v/>
      </c>
      <c r="O29" s="40">
        <f>IF(OR(L29="",L29=0),"",G29/L29)</f>
        <v/>
      </c>
      <c r="P29" s="41">
        <f>IF(OR(G29="",G29=0),"",(N29-G29)/G29)</f>
        <v/>
      </c>
      <c r="Q29" s="38">
        <f>IF(OR(I29="",I29=0),"",N29/I29)</f>
        <v/>
      </c>
    </row>
    <row r="30">
      <c r="A30" s="33" t="n"/>
      <c r="B30" s="33" t="n"/>
      <c r="C30" s="33" t="n"/>
      <c r="D30" s="33" t="n"/>
      <c r="E30" s="34" t="n"/>
      <c r="F30" s="35" t="n"/>
      <c r="G30" s="35" t="n"/>
      <c r="H30" s="36" t="n"/>
      <c r="I30" s="36" t="n"/>
      <c r="J30" s="37">
        <f>IF(H30=0,"",I30/H30)</f>
        <v/>
      </c>
      <c r="K30" s="38">
        <f>IF(I30=0,"",G30/I30)</f>
        <v/>
      </c>
      <c r="L30" s="14">
        <f>IF(A30="","",COUNTIFS('Vendas (Conversões)'!$C$2:$C$400,A30,'Vendas (Conversões)'!$G$2:$G$400,"Aprovada"))</f>
        <v/>
      </c>
      <c r="M30" s="39">
        <f>IF(A30="","",SUMIFS('Vendas (Conversões)'!$F$2:$F$400,'Vendas (Conversões)'!$C$2:$C$400,A30,'Vendas (Conversões)'!$G$2:$G$400,"Aprovada"))</f>
        <v/>
      </c>
      <c r="N30" s="38">
        <f>IF(M30="","",M30*Dashboard!$B$6)</f>
        <v/>
      </c>
      <c r="O30" s="40">
        <f>IF(OR(L30="",L30=0),"",G30/L30)</f>
        <v/>
      </c>
      <c r="P30" s="41">
        <f>IF(OR(G30="",G30=0),"",(N30-G30)/G30)</f>
        <v/>
      </c>
      <c r="Q30" s="38">
        <f>IF(OR(I30="",I30=0),"",N30/I30)</f>
        <v/>
      </c>
    </row>
    <row r="31">
      <c r="A31" s="33" t="n"/>
      <c r="B31" s="33" t="n"/>
      <c r="C31" s="33" t="n"/>
      <c r="D31" s="33" t="n"/>
      <c r="E31" s="34" t="n"/>
      <c r="F31" s="35" t="n"/>
      <c r="G31" s="35" t="n"/>
      <c r="H31" s="36" t="n"/>
      <c r="I31" s="36" t="n"/>
      <c r="J31" s="37">
        <f>IF(H31=0,"",I31/H31)</f>
        <v/>
      </c>
      <c r="K31" s="38">
        <f>IF(I31=0,"",G31/I31)</f>
        <v/>
      </c>
      <c r="L31" s="14">
        <f>IF(A31="","",COUNTIFS('Vendas (Conversões)'!$C$2:$C$400,A31,'Vendas (Conversões)'!$G$2:$G$400,"Aprovada"))</f>
        <v/>
      </c>
      <c r="M31" s="39">
        <f>IF(A31="","",SUMIFS('Vendas (Conversões)'!$F$2:$F$400,'Vendas (Conversões)'!$C$2:$C$400,A31,'Vendas (Conversões)'!$G$2:$G$400,"Aprovada"))</f>
        <v/>
      </c>
      <c r="N31" s="38">
        <f>IF(M31="","",M31*Dashboard!$B$6)</f>
        <v/>
      </c>
      <c r="O31" s="40">
        <f>IF(OR(L31="",L31=0),"",G31/L31)</f>
        <v/>
      </c>
      <c r="P31" s="41">
        <f>IF(OR(G31="",G31=0),"",(N31-G31)/G31)</f>
        <v/>
      </c>
      <c r="Q31" s="38">
        <f>IF(OR(I31="",I31=0),"",N31/I31)</f>
        <v/>
      </c>
    </row>
    <row r="32">
      <c r="A32" s="33" t="n"/>
      <c r="B32" s="33" t="n"/>
      <c r="C32" s="33" t="n"/>
      <c r="D32" s="33" t="n"/>
      <c r="E32" s="34" t="n"/>
      <c r="F32" s="35" t="n"/>
      <c r="G32" s="35" t="n"/>
      <c r="H32" s="36" t="n"/>
      <c r="I32" s="36" t="n"/>
      <c r="J32" s="37">
        <f>IF(H32=0,"",I32/H32)</f>
        <v/>
      </c>
      <c r="K32" s="38">
        <f>IF(I32=0,"",G32/I32)</f>
        <v/>
      </c>
      <c r="L32" s="14">
        <f>IF(A32="","",COUNTIFS('Vendas (Conversões)'!$C$2:$C$400,A32,'Vendas (Conversões)'!$G$2:$G$400,"Aprovada"))</f>
        <v/>
      </c>
      <c r="M32" s="39">
        <f>IF(A32="","",SUMIFS('Vendas (Conversões)'!$F$2:$F$400,'Vendas (Conversões)'!$C$2:$C$400,A32,'Vendas (Conversões)'!$G$2:$G$400,"Aprovada"))</f>
        <v/>
      </c>
      <c r="N32" s="38">
        <f>IF(M32="","",M32*Dashboard!$B$6)</f>
        <v/>
      </c>
      <c r="O32" s="40">
        <f>IF(OR(L32="",L32=0),"",G32/L32)</f>
        <v/>
      </c>
      <c r="P32" s="41">
        <f>IF(OR(G32="",G32=0),"",(N32-G32)/G32)</f>
        <v/>
      </c>
      <c r="Q32" s="38">
        <f>IF(OR(I32="",I32=0),"",N32/I32)</f>
        <v/>
      </c>
    </row>
    <row r="33">
      <c r="A33" s="33" t="n"/>
      <c r="B33" s="33" t="n"/>
      <c r="C33" s="33" t="n"/>
      <c r="D33" s="33" t="n"/>
      <c r="E33" s="34" t="n"/>
      <c r="F33" s="35" t="n"/>
      <c r="G33" s="35" t="n"/>
      <c r="H33" s="36" t="n"/>
      <c r="I33" s="36" t="n"/>
      <c r="J33" s="37">
        <f>IF(H33=0,"",I33/H33)</f>
        <v/>
      </c>
      <c r="K33" s="38">
        <f>IF(I33=0,"",G33/I33)</f>
        <v/>
      </c>
      <c r="L33" s="14">
        <f>IF(A33="","",COUNTIFS('Vendas (Conversões)'!$C$2:$C$400,A33,'Vendas (Conversões)'!$G$2:$G$400,"Aprovada"))</f>
        <v/>
      </c>
      <c r="M33" s="39">
        <f>IF(A33="","",SUMIFS('Vendas (Conversões)'!$F$2:$F$400,'Vendas (Conversões)'!$C$2:$C$400,A33,'Vendas (Conversões)'!$G$2:$G$400,"Aprovada"))</f>
        <v/>
      </c>
      <c r="N33" s="38">
        <f>IF(M33="","",M33*Dashboard!$B$6)</f>
        <v/>
      </c>
      <c r="O33" s="40">
        <f>IF(OR(L33="",L33=0),"",G33/L33)</f>
        <v/>
      </c>
      <c r="P33" s="41">
        <f>IF(OR(G33="",G33=0),"",(N33-G33)/G33)</f>
        <v/>
      </c>
      <c r="Q33" s="38">
        <f>IF(OR(I33="",I33=0),"",N33/I33)</f>
        <v/>
      </c>
    </row>
    <row r="34">
      <c r="A34" s="33" t="n"/>
      <c r="B34" s="33" t="n"/>
      <c r="C34" s="33" t="n"/>
      <c r="D34" s="33" t="n"/>
      <c r="E34" s="34" t="n"/>
      <c r="F34" s="35" t="n"/>
      <c r="G34" s="35" t="n"/>
      <c r="H34" s="36" t="n"/>
      <c r="I34" s="36" t="n"/>
      <c r="J34" s="37">
        <f>IF(H34=0,"",I34/H34)</f>
        <v/>
      </c>
      <c r="K34" s="38">
        <f>IF(I34=0,"",G34/I34)</f>
        <v/>
      </c>
      <c r="L34" s="14">
        <f>IF(A34="","",COUNTIFS('Vendas (Conversões)'!$C$2:$C$400,A34,'Vendas (Conversões)'!$G$2:$G$400,"Aprovada"))</f>
        <v/>
      </c>
      <c r="M34" s="39">
        <f>IF(A34="","",SUMIFS('Vendas (Conversões)'!$F$2:$F$400,'Vendas (Conversões)'!$C$2:$C$400,A34,'Vendas (Conversões)'!$G$2:$G$400,"Aprovada"))</f>
        <v/>
      </c>
      <c r="N34" s="38">
        <f>IF(M34="","",M34*Dashboard!$B$6)</f>
        <v/>
      </c>
      <c r="O34" s="40">
        <f>IF(OR(L34="",L34=0),"",G34/L34)</f>
        <v/>
      </c>
      <c r="P34" s="41">
        <f>IF(OR(G34="",G34=0),"",(N34-G34)/G34)</f>
        <v/>
      </c>
      <c r="Q34" s="38">
        <f>IF(OR(I34="",I34=0),"",N34/I34)</f>
        <v/>
      </c>
    </row>
    <row r="35">
      <c r="A35" s="33" t="n"/>
      <c r="B35" s="33" t="n"/>
      <c r="C35" s="33" t="n"/>
      <c r="D35" s="33" t="n"/>
      <c r="E35" s="34" t="n"/>
      <c r="F35" s="35" t="n"/>
      <c r="G35" s="35" t="n"/>
      <c r="H35" s="36" t="n"/>
      <c r="I35" s="36" t="n"/>
      <c r="J35" s="37">
        <f>IF(H35=0,"",I35/H35)</f>
        <v/>
      </c>
      <c r="K35" s="38">
        <f>IF(I35=0,"",G35/I35)</f>
        <v/>
      </c>
      <c r="L35" s="14">
        <f>IF(A35="","",COUNTIFS('Vendas (Conversões)'!$C$2:$C$400,A35,'Vendas (Conversões)'!$G$2:$G$400,"Aprovada"))</f>
        <v/>
      </c>
      <c r="M35" s="39">
        <f>IF(A35="","",SUMIFS('Vendas (Conversões)'!$F$2:$F$400,'Vendas (Conversões)'!$C$2:$C$400,A35,'Vendas (Conversões)'!$G$2:$G$400,"Aprovada"))</f>
        <v/>
      </c>
      <c r="N35" s="38">
        <f>IF(M35="","",M35*Dashboard!$B$6)</f>
        <v/>
      </c>
      <c r="O35" s="40">
        <f>IF(OR(L35="",L35=0),"",G35/L35)</f>
        <v/>
      </c>
      <c r="P35" s="41">
        <f>IF(OR(G35="",G35=0),"",(N35-G35)/G35)</f>
        <v/>
      </c>
      <c r="Q35" s="38">
        <f>IF(OR(I35="",I35=0),"",N35/I35)</f>
        <v/>
      </c>
    </row>
    <row r="36">
      <c r="A36" s="33" t="n"/>
      <c r="B36" s="33" t="n"/>
      <c r="C36" s="33" t="n"/>
      <c r="D36" s="33" t="n"/>
      <c r="E36" s="34" t="n"/>
      <c r="F36" s="35" t="n"/>
      <c r="G36" s="35" t="n"/>
      <c r="H36" s="36" t="n"/>
      <c r="I36" s="36" t="n"/>
      <c r="J36" s="37">
        <f>IF(H36=0,"",I36/H36)</f>
        <v/>
      </c>
      <c r="K36" s="38">
        <f>IF(I36=0,"",G36/I36)</f>
        <v/>
      </c>
      <c r="L36" s="14">
        <f>IF(A36="","",COUNTIFS('Vendas (Conversões)'!$C$2:$C$400,A36,'Vendas (Conversões)'!$G$2:$G$400,"Aprovada"))</f>
        <v/>
      </c>
      <c r="M36" s="39">
        <f>IF(A36="","",SUMIFS('Vendas (Conversões)'!$F$2:$F$400,'Vendas (Conversões)'!$C$2:$C$400,A36,'Vendas (Conversões)'!$G$2:$G$400,"Aprovada"))</f>
        <v/>
      </c>
      <c r="N36" s="38">
        <f>IF(M36="","",M36*Dashboard!$B$6)</f>
        <v/>
      </c>
      <c r="O36" s="40">
        <f>IF(OR(L36="",L36=0),"",G36/L36)</f>
        <v/>
      </c>
      <c r="P36" s="41">
        <f>IF(OR(G36="",G36=0),"",(N36-G36)/G36)</f>
        <v/>
      </c>
      <c r="Q36" s="38">
        <f>IF(OR(I36="",I36=0),"",N36/I36)</f>
        <v/>
      </c>
    </row>
    <row r="37">
      <c r="A37" s="33" t="n"/>
      <c r="B37" s="33" t="n"/>
      <c r="C37" s="33" t="n"/>
      <c r="D37" s="33" t="n"/>
      <c r="E37" s="34" t="n"/>
      <c r="F37" s="35" t="n"/>
      <c r="G37" s="35" t="n"/>
      <c r="H37" s="36" t="n"/>
      <c r="I37" s="36" t="n"/>
      <c r="J37" s="37">
        <f>IF(H37=0,"",I37/H37)</f>
        <v/>
      </c>
      <c r="K37" s="38">
        <f>IF(I37=0,"",G37/I37)</f>
        <v/>
      </c>
      <c r="L37" s="14">
        <f>IF(A37="","",COUNTIFS('Vendas (Conversões)'!$C$2:$C$400,A37,'Vendas (Conversões)'!$G$2:$G$400,"Aprovada"))</f>
        <v/>
      </c>
      <c r="M37" s="39">
        <f>IF(A37="","",SUMIFS('Vendas (Conversões)'!$F$2:$F$400,'Vendas (Conversões)'!$C$2:$C$400,A37,'Vendas (Conversões)'!$G$2:$G$400,"Aprovada"))</f>
        <v/>
      </c>
      <c r="N37" s="38">
        <f>IF(M37="","",M37*Dashboard!$B$6)</f>
        <v/>
      </c>
      <c r="O37" s="40">
        <f>IF(OR(L37="",L37=0),"",G37/L37)</f>
        <v/>
      </c>
      <c r="P37" s="41">
        <f>IF(OR(G37="",G37=0),"",(N37-G37)/G37)</f>
        <v/>
      </c>
      <c r="Q37" s="38">
        <f>IF(OR(I37="",I37=0),"",N37/I37)</f>
        <v/>
      </c>
    </row>
    <row r="38">
      <c r="A38" s="33" t="n"/>
      <c r="B38" s="33" t="n"/>
      <c r="C38" s="33" t="n"/>
      <c r="D38" s="33" t="n"/>
      <c r="E38" s="34" t="n"/>
      <c r="F38" s="35" t="n"/>
      <c r="G38" s="35" t="n"/>
      <c r="H38" s="36" t="n"/>
      <c r="I38" s="36" t="n"/>
      <c r="J38" s="37">
        <f>IF(H38=0,"",I38/H38)</f>
        <v/>
      </c>
      <c r="K38" s="38">
        <f>IF(I38=0,"",G38/I38)</f>
        <v/>
      </c>
      <c r="L38" s="14">
        <f>IF(A38="","",COUNTIFS('Vendas (Conversões)'!$C$2:$C$400,A38,'Vendas (Conversões)'!$G$2:$G$400,"Aprovada"))</f>
        <v/>
      </c>
      <c r="M38" s="39">
        <f>IF(A38="","",SUMIFS('Vendas (Conversões)'!$F$2:$F$400,'Vendas (Conversões)'!$C$2:$C$400,A38,'Vendas (Conversões)'!$G$2:$G$400,"Aprovada"))</f>
        <v/>
      </c>
      <c r="N38" s="38">
        <f>IF(M38="","",M38*Dashboard!$B$6)</f>
        <v/>
      </c>
      <c r="O38" s="40">
        <f>IF(OR(L38="",L38=0),"",G38/L38)</f>
        <v/>
      </c>
      <c r="P38" s="41">
        <f>IF(OR(G38="",G38=0),"",(N38-G38)/G38)</f>
        <v/>
      </c>
      <c r="Q38" s="38">
        <f>IF(OR(I38="",I38=0),"",N38/I38)</f>
        <v/>
      </c>
    </row>
    <row r="39">
      <c r="A39" s="33" t="n"/>
      <c r="B39" s="33" t="n"/>
      <c r="C39" s="33" t="n"/>
      <c r="D39" s="33" t="n"/>
      <c r="E39" s="34" t="n"/>
      <c r="F39" s="35" t="n"/>
      <c r="G39" s="35" t="n"/>
      <c r="H39" s="36" t="n"/>
      <c r="I39" s="36" t="n"/>
      <c r="J39" s="37">
        <f>IF(H39=0,"",I39/H39)</f>
        <v/>
      </c>
      <c r="K39" s="38">
        <f>IF(I39=0,"",G39/I39)</f>
        <v/>
      </c>
      <c r="L39" s="14">
        <f>IF(A39="","",COUNTIFS('Vendas (Conversões)'!$C$2:$C$400,A39,'Vendas (Conversões)'!$G$2:$G$400,"Aprovada"))</f>
        <v/>
      </c>
      <c r="M39" s="39">
        <f>IF(A39="","",SUMIFS('Vendas (Conversões)'!$F$2:$F$400,'Vendas (Conversões)'!$C$2:$C$400,A39,'Vendas (Conversões)'!$G$2:$G$400,"Aprovada"))</f>
        <v/>
      </c>
      <c r="N39" s="38">
        <f>IF(M39="","",M39*Dashboard!$B$6)</f>
        <v/>
      </c>
      <c r="O39" s="40">
        <f>IF(OR(L39="",L39=0),"",G39/L39)</f>
        <v/>
      </c>
      <c r="P39" s="41">
        <f>IF(OR(G39="",G39=0),"",(N39-G39)/G39)</f>
        <v/>
      </c>
      <c r="Q39" s="38">
        <f>IF(OR(I39="",I39=0),"",N39/I39)</f>
        <v/>
      </c>
    </row>
    <row r="40">
      <c r="A40" s="33" t="n"/>
      <c r="B40" s="33" t="n"/>
      <c r="C40" s="33" t="n"/>
      <c r="D40" s="33" t="n"/>
      <c r="E40" s="34" t="n"/>
      <c r="F40" s="35" t="n"/>
      <c r="G40" s="35" t="n"/>
      <c r="H40" s="36" t="n"/>
      <c r="I40" s="36" t="n"/>
      <c r="J40" s="37">
        <f>IF(H40=0,"",I40/H40)</f>
        <v/>
      </c>
      <c r="K40" s="38">
        <f>IF(I40=0,"",G40/I40)</f>
        <v/>
      </c>
      <c r="L40" s="14">
        <f>IF(A40="","",COUNTIFS('Vendas (Conversões)'!$C$2:$C$400,A40,'Vendas (Conversões)'!$G$2:$G$400,"Aprovada"))</f>
        <v/>
      </c>
      <c r="M40" s="39">
        <f>IF(A40="","",SUMIFS('Vendas (Conversões)'!$F$2:$F$400,'Vendas (Conversões)'!$C$2:$C$400,A40,'Vendas (Conversões)'!$G$2:$G$400,"Aprovada"))</f>
        <v/>
      </c>
      <c r="N40" s="38">
        <f>IF(M40="","",M40*Dashboard!$B$6)</f>
        <v/>
      </c>
      <c r="O40" s="40">
        <f>IF(OR(L40="",L40=0),"",G40/L40)</f>
        <v/>
      </c>
      <c r="P40" s="41">
        <f>IF(OR(G40="",G40=0),"",(N40-G40)/G40)</f>
        <v/>
      </c>
      <c r="Q40" s="38">
        <f>IF(OR(I40="",I40=0),"",N40/I40)</f>
        <v/>
      </c>
    </row>
    <row r="41">
      <c r="A41" s="33" t="n"/>
      <c r="B41" s="33" t="n"/>
      <c r="C41" s="33" t="n"/>
      <c r="D41" s="33" t="n"/>
      <c r="E41" s="34" t="n"/>
      <c r="F41" s="35" t="n"/>
      <c r="G41" s="35" t="n"/>
      <c r="H41" s="36" t="n"/>
      <c r="I41" s="36" t="n"/>
      <c r="J41" s="37">
        <f>IF(H41=0,"",I41/H41)</f>
        <v/>
      </c>
      <c r="K41" s="38">
        <f>IF(I41=0,"",G41/I41)</f>
        <v/>
      </c>
      <c r="L41" s="14">
        <f>IF(A41="","",COUNTIFS('Vendas (Conversões)'!$C$2:$C$400,A41,'Vendas (Conversões)'!$G$2:$G$400,"Aprovada"))</f>
        <v/>
      </c>
      <c r="M41" s="39">
        <f>IF(A41="","",SUMIFS('Vendas (Conversões)'!$F$2:$F$400,'Vendas (Conversões)'!$C$2:$C$400,A41,'Vendas (Conversões)'!$G$2:$G$400,"Aprovada"))</f>
        <v/>
      </c>
      <c r="N41" s="38">
        <f>IF(M41="","",M41*Dashboard!$B$6)</f>
        <v/>
      </c>
      <c r="O41" s="40">
        <f>IF(OR(L41="",L41=0),"",G41/L41)</f>
        <v/>
      </c>
      <c r="P41" s="41">
        <f>IF(OR(G41="",G41=0),"",(N41-G41)/G41)</f>
        <v/>
      </c>
      <c r="Q41" s="38">
        <f>IF(OR(I41="",I41=0),"",N41/I41)</f>
        <v/>
      </c>
    </row>
    <row r="42">
      <c r="A42" s="33" t="n"/>
      <c r="B42" s="33" t="n"/>
      <c r="C42" s="33" t="n"/>
      <c r="D42" s="33" t="n"/>
      <c r="E42" s="34" t="n"/>
      <c r="F42" s="35" t="n"/>
      <c r="G42" s="35" t="n"/>
      <c r="H42" s="36" t="n"/>
      <c r="I42" s="36" t="n"/>
      <c r="J42" s="37">
        <f>IF(H42=0,"",I42/H42)</f>
        <v/>
      </c>
      <c r="K42" s="38">
        <f>IF(I42=0,"",G42/I42)</f>
        <v/>
      </c>
      <c r="L42" s="14">
        <f>IF(A42="","",COUNTIFS('Vendas (Conversões)'!$C$2:$C$400,A42,'Vendas (Conversões)'!$G$2:$G$400,"Aprovada"))</f>
        <v/>
      </c>
      <c r="M42" s="39">
        <f>IF(A42="","",SUMIFS('Vendas (Conversões)'!$F$2:$F$400,'Vendas (Conversões)'!$C$2:$C$400,A42,'Vendas (Conversões)'!$G$2:$G$400,"Aprovada"))</f>
        <v/>
      </c>
      <c r="N42" s="38">
        <f>IF(M42="","",M42*Dashboard!$B$6)</f>
        <v/>
      </c>
      <c r="O42" s="40">
        <f>IF(OR(L42="",L42=0),"",G42/L42)</f>
        <v/>
      </c>
      <c r="P42" s="41">
        <f>IF(OR(G42="",G42=0),"",(N42-G42)/G42)</f>
        <v/>
      </c>
      <c r="Q42" s="38">
        <f>IF(OR(I42="",I42=0),"",N42/I42)</f>
        <v/>
      </c>
    </row>
    <row r="43">
      <c r="A43" s="33" t="n"/>
      <c r="B43" s="33" t="n"/>
      <c r="C43" s="33" t="n"/>
      <c r="D43" s="33" t="n"/>
      <c r="E43" s="34" t="n"/>
      <c r="F43" s="35" t="n"/>
      <c r="G43" s="35" t="n"/>
      <c r="H43" s="36" t="n"/>
      <c r="I43" s="36" t="n"/>
      <c r="J43" s="37">
        <f>IF(H43=0,"",I43/H43)</f>
        <v/>
      </c>
      <c r="K43" s="38">
        <f>IF(I43=0,"",G43/I43)</f>
        <v/>
      </c>
      <c r="L43" s="14">
        <f>IF(A43="","",COUNTIFS('Vendas (Conversões)'!$C$2:$C$400,A43,'Vendas (Conversões)'!$G$2:$G$400,"Aprovada"))</f>
        <v/>
      </c>
      <c r="M43" s="39">
        <f>IF(A43="","",SUMIFS('Vendas (Conversões)'!$F$2:$F$400,'Vendas (Conversões)'!$C$2:$C$400,A43,'Vendas (Conversões)'!$G$2:$G$400,"Aprovada"))</f>
        <v/>
      </c>
      <c r="N43" s="38">
        <f>IF(M43="","",M43*Dashboard!$B$6)</f>
        <v/>
      </c>
      <c r="O43" s="40">
        <f>IF(OR(L43="",L43=0),"",G43/L43)</f>
        <v/>
      </c>
      <c r="P43" s="41">
        <f>IF(OR(G43="",G43=0),"",(N43-G43)/G43)</f>
        <v/>
      </c>
      <c r="Q43" s="38">
        <f>IF(OR(I43="",I43=0),"",N43/I43)</f>
        <v/>
      </c>
    </row>
    <row r="44">
      <c r="A44" s="33" t="n"/>
      <c r="B44" s="33" t="n"/>
      <c r="C44" s="33" t="n"/>
      <c r="D44" s="33" t="n"/>
      <c r="E44" s="34" t="n"/>
      <c r="F44" s="35" t="n"/>
      <c r="G44" s="35" t="n"/>
      <c r="H44" s="36" t="n"/>
      <c r="I44" s="36" t="n"/>
      <c r="J44" s="37">
        <f>IF(H44=0,"",I44/H44)</f>
        <v/>
      </c>
      <c r="K44" s="38">
        <f>IF(I44=0,"",G44/I44)</f>
        <v/>
      </c>
      <c r="L44" s="14">
        <f>IF(A44="","",COUNTIFS('Vendas (Conversões)'!$C$2:$C$400,A44,'Vendas (Conversões)'!$G$2:$G$400,"Aprovada"))</f>
        <v/>
      </c>
      <c r="M44" s="39">
        <f>IF(A44="","",SUMIFS('Vendas (Conversões)'!$F$2:$F$400,'Vendas (Conversões)'!$C$2:$C$400,A44,'Vendas (Conversões)'!$G$2:$G$400,"Aprovada"))</f>
        <v/>
      </c>
      <c r="N44" s="38">
        <f>IF(M44="","",M44*Dashboard!$B$6)</f>
        <v/>
      </c>
      <c r="O44" s="40">
        <f>IF(OR(L44="",L44=0),"",G44/L44)</f>
        <v/>
      </c>
      <c r="P44" s="41">
        <f>IF(OR(G44="",G44=0),"",(N44-G44)/G44)</f>
        <v/>
      </c>
      <c r="Q44" s="38">
        <f>IF(OR(I44="",I44=0),"",N44/I44)</f>
        <v/>
      </c>
    </row>
    <row r="45">
      <c r="A45" s="33" t="n"/>
      <c r="B45" s="33" t="n"/>
      <c r="C45" s="33" t="n"/>
      <c r="D45" s="33" t="n"/>
      <c r="E45" s="34" t="n"/>
      <c r="F45" s="35" t="n"/>
      <c r="G45" s="35" t="n"/>
      <c r="H45" s="36" t="n"/>
      <c r="I45" s="36" t="n"/>
      <c r="J45" s="37">
        <f>IF(H45=0,"",I45/H45)</f>
        <v/>
      </c>
      <c r="K45" s="38">
        <f>IF(I45=0,"",G45/I45)</f>
        <v/>
      </c>
      <c r="L45" s="14">
        <f>IF(A45="","",COUNTIFS('Vendas (Conversões)'!$C$2:$C$400,A45,'Vendas (Conversões)'!$G$2:$G$400,"Aprovada"))</f>
        <v/>
      </c>
      <c r="M45" s="39">
        <f>IF(A45="","",SUMIFS('Vendas (Conversões)'!$F$2:$F$400,'Vendas (Conversões)'!$C$2:$C$400,A45,'Vendas (Conversões)'!$G$2:$G$400,"Aprovada"))</f>
        <v/>
      </c>
      <c r="N45" s="38">
        <f>IF(M45="","",M45*Dashboard!$B$6)</f>
        <v/>
      </c>
      <c r="O45" s="40">
        <f>IF(OR(L45="",L45=0),"",G45/L45)</f>
        <v/>
      </c>
      <c r="P45" s="41">
        <f>IF(OR(G45="",G45=0),"",(N45-G45)/G45)</f>
        <v/>
      </c>
      <c r="Q45" s="38">
        <f>IF(OR(I45="",I45=0),"",N45/I45)</f>
        <v/>
      </c>
    </row>
    <row r="46">
      <c r="A46" s="33" t="n"/>
      <c r="B46" s="33" t="n"/>
      <c r="C46" s="33" t="n"/>
      <c r="D46" s="33" t="n"/>
      <c r="E46" s="34" t="n"/>
      <c r="F46" s="35" t="n"/>
      <c r="G46" s="35" t="n"/>
      <c r="H46" s="36" t="n"/>
      <c r="I46" s="36" t="n"/>
      <c r="J46" s="37">
        <f>IF(H46=0,"",I46/H46)</f>
        <v/>
      </c>
      <c r="K46" s="38">
        <f>IF(I46=0,"",G46/I46)</f>
        <v/>
      </c>
      <c r="L46" s="14">
        <f>IF(A46="","",COUNTIFS('Vendas (Conversões)'!$C$2:$C$400,A46,'Vendas (Conversões)'!$G$2:$G$400,"Aprovada"))</f>
        <v/>
      </c>
      <c r="M46" s="39">
        <f>IF(A46="","",SUMIFS('Vendas (Conversões)'!$F$2:$F$400,'Vendas (Conversões)'!$C$2:$C$400,A46,'Vendas (Conversões)'!$G$2:$G$400,"Aprovada"))</f>
        <v/>
      </c>
      <c r="N46" s="38">
        <f>IF(M46="","",M46*Dashboard!$B$6)</f>
        <v/>
      </c>
      <c r="O46" s="40">
        <f>IF(OR(L46="",L46=0),"",G46/L46)</f>
        <v/>
      </c>
      <c r="P46" s="41">
        <f>IF(OR(G46="",G46=0),"",(N46-G46)/G46)</f>
        <v/>
      </c>
      <c r="Q46" s="38">
        <f>IF(OR(I46="",I46=0),"",N46/I46)</f>
        <v/>
      </c>
    </row>
    <row r="47">
      <c r="A47" s="33" t="n"/>
      <c r="B47" s="33" t="n"/>
      <c r="C47" s="33" t="n"/>
      <c r="D47" s="33" t="n"/>
      <c r="E47" s="34" t="n"/>
      <c r="F47" s="35" t="n"/>
      <c r="G47" s="35" t="n"/>
      <c r="H47" s="36" t="n"/>
      <c r="I47" s="36" t="n"/>
      <c r="J47" s="37">
        <f>IF(H47=0,"",I47/H47)</f>
        <v/>
      </c>
      <c r="K47" s="38">
        <f>IF(I47=0,"",G47/I47)</f>
        <v/>
      </c>
      <c r="L47" s="14">
        <f>IF(A47="","",COUNTIFS('Vendas (Conversões)'!$C$2:$C$400,A47,'Vendas (Conversões)'!$G$2:$G$400,"Aprovada"))</f>
        <v/>
      </c>
      <c r="M47" s="39">
        <f>IF(A47="","",SUMIFS('Vendas (Conversões)'!$F$2:$F$400,'Vendas (Conversões)'!$C$2:$C$400,A47,'Vendas (Conversões)'!$G$2:$G$400,"Aprovada"))</f>
        <v/>
      </c>
      <c r="N47" s="38">
        <f>IF(M47="","",M47*Dashboard!$B$6)</f>
        <v/>
      </c>
      <c r="O47" s="40">
        <f>IF(OR(L47="",L47=0),"",G47/L47)</f>
        <v/>
      </c>
      <c r="P47" s="41">
        <f>IF(OR(G47="",G47=0),"",(N47-G47)/G47)</f>
        <v/>
      </c>
      <c r="Q47" s="38">
        <f>IF(OR(I47="",I47=0),"",N47/I47)</f>
        <v/>
      </c>
    </row>
    <row r="48">
      <c r="A48" s="33" t="n"/>
      <c r="B48" s="33" t="n"/>
      <c r="C48" s="33" t="n"/>
      <c r="D48" s="33" t="n"/>
      <c r="E48" s="34" t="n"/>
      <c r="F48" s="35" t="n"/>
      <c r="G48" s="35" t="n"/>
      <c r="H48" s="36" t="n"/>
      <c r="I48" s="36" t="n"/>
      <c r="J48" s="37">
        <f>IF(H48=0,"",I48/H48)</f>
        <v/>
      </c>
      <c r="K48" s="38">
        <f>IF(I48=0,"",G48/I48)</f>
        <v/>
      </c>
      <c r="L48" s="14">
        <f>IF(A48="","",COUNTIFS('Vendas (Conversões)'!$C$2:$C$400,A48,'Vendas (Conversões)'!$G$2:$G$400,"Aprovada"))</f>
        <v/>
      </c>
      <c r="M48" s="39">
        <f>IF(A48="","",SUMIFS('Vendas (Conversões)'!$F$2:$F$400,'Vendas (Conversões)'!$C$2:$C$400,A48,'Vendas (Conversões)'!$G$2:$G$400,"Aprovada"))</f>
        <v/>
      </c>
      <c r="N48" s="38">
        <f>IF(M48="","",M48*Dashboard!$B$6)</f>
        <v/>
      </c>
      <c r="O48" s="40">
        <f>IF(OR(L48="",L48=0),"",G48/L48)</f>
        <v/>
      </c>
      <c r="P48" s="41">
        <f>IF(OR(G48="",G48=0),"",(N48-G48)/G48)</f>
        <v/>
      </c>
      <c r="Q48" s="38">
        <f>IF(OR(I48="",I48=0),"",N48/I48)</f>
        <v/>
      </c>
    </row>
    <row r="49">
      <c r="A49" s="33" t="n"/>
      <c r="B49" s="33" t="n"/>
      <c r="C49" s="33" t="n"/>
      <c r="D49" s="33" t="n"/>
      <c r="E49" s="34" t="n"/>
      <c r="F49" s="35" t="n"/>
      <c r="G49" s="35" t="n"/>
      <c r="H49" s="36" t="n"/>
      <c r="I49" s="36" t="n"/>
      <c r="J49" s="37">
        <f>IF(H49=0,"",I49/H49)</f>
        <v/>
      </c>
      <c r="K49" s="38">
        <f>IF(I49=0,"",G49/I49)</f>
        <v/>
      </c>
      <c r="L49" s="14">
        <f>IF(A49="","",COUNTIFS('Vendas (Conversões)'!$C$2:$C$400,A49,'Vendas (Conversões)'!$G$2:$G$400,"Aprovada"))</f>
        <v/>
      </c>
      <c r="M49" s="39">
        <f>IF(A49="","",SUMIFS('Vendas (Conversões)'!$F$2:$F$400,'Vendas (Conversões)'!$C$2:$C$400,A49,'Vendas (Conversões)'!$G$2:$G$400,"Aprovada"))</f>
        <v/>
      </c>
      <c r="N49" s="38">
        <f>IF(M49="","",M49*Dashboard!$B$6)</f>
        <v/>
      </c>
      <c r="O49" s="40">
        <f>IF(OR(L49="",L49=0),"",G49/L49)</f>
        <v/>
      </c>
      <c r="P49" s="41">
        <f>IF(OR(G49="",G49=0),"",(N49-G49)/G49)</f>
        <v/>
      </c>
      <c r="Q49" s="38">
        <f>IF(OR(I49="",I49=0),"",N49/I49)</f>
        <v/>
      </c>
    </row>
    <row r="50">
      <c r="A50" s="33" t="n"/>
      <c r="B50" s="33" t="n"/>
      <c r="C50" s="33" t="n"/>
      <c r="D50" s="33" t="n"/>
      <c r="E50" s="34" t="n"/>
      <c r="F50" s="35" t="n"/>
      <c r="G50" s="35" t="n"/>
      <c r="H50" s="36" t="n"/>
      <c r="I50" s="36" t="n"/>
      <c r="J50" s="37">
        <f>IF(H50=0,"",I50/H50)</f>
        <v/>
      </c>
      <c r="K50" s="38">
        <f>IF(I50=0,"",G50/I50)</f>
        <v/>
      </c>
      <c r="L50" s="14">
        <f>IF(A50="","",COUNTIFS('Vendas (Conversões)'!$C$2:$C$400,A50,'Vendas (Conversões)'!$G$2:$G$400,"Aprovada"))</f>
        <v/>
      </c>
      <c r="M50" s="39">
        <f>IF(A50="","",SUMIFS('Vendas (Conversões)'!$F$2:$F$400,'Vendas (Conversões)'!$C$2:$C$400,A50,'Vendas (Conversões)'!$G$2:$G$400,"Aprovada"))</f>
        <v/>
      </c>
      <c r="N50" s="38">
        <f>IF(M50="","",M50*Dashboard!$B$6)</f>
        <v/>
      </c>
      <c r="O50" s="40">
        <f>IF(OR(L50="",L50=0),"",G50/L50)</f>
        <v/>
      </c>
      <c r="P50" s="41">
        <f>IF(OR(G50="",G50=0),"",(N50-G50)/G50)</f>
        <v/>
      </c>
      <c r="Q50" s="38">
        <f>IF(OR(I50="",I50=0),"",N50/I50)</f>
        <v/>
      </c>
    </row>
    <row r="51">
      <c r="A51" s="33" t="n"/>
      <c r="B51" s="33" t="n"/>
      <c r="C51" s="33" t="n"/>
      <c r="D51" s="33" t="n"/>
      <c r="E51" s="34" t="n"/>
      <c r="F51" s="35" t="n"/>
      <c r="G51" s="35" t="n"/>
      <c r="H51" s="36" t="n"/>
      <c r="I51" s="36" t="n"/>
      <c r="J51" s="37">
        <f>IF(H51=0,"",I51/H51)</f>
        <v/>
      </c>
      <c r="K51" s="38">
        <f>IF(I51=0,"",G51/I51)</f>
        <v/>
      </c>
      <c r="L51" s="14">
        <f>IF(A51="","",COUNTIFS('Vendas (Conversões)'!$C$2:$C$400,A51,'Vendas (Conversões)'!$G$2:$G$400,"Aprovada"))</f>
        <v/>
      </c>
      <c r="M51" s="39">
        <f>IF(A51="","",SUMIFS('Vendas (Conversões)'!$F$2:$F$400,'Vendas (Conversões)'!$C$2:$C$400,A51,'Vendas (Conversões)'!$G$2:$G$400,"Aprovada"))</f>
        <v/>
      </c>
      <c r="N51" s="38">
        <f>IF(M51="","",M51*Dashboard!$B$6)</f>
        <v/>
      </c>
      <c r="O51" s="40">
        <f>IF(OR(L51="",L51=0),"",G51/L51)</f>
        <v/>
      </c>
      <c r="P51" s="41">
        <f>IF(OR(G51="",G51=0),"",(N51-G51)/G51)</f>
        <v/>
      </c>
      <c r="Q51" s="38">
        <f>IF(OR(I51="",I51=0),"",N51/I51)</f>
        <v/>
      </c>
    </row>
    <row r="52">
      <c r="A52" s="33" t="n"/>
      <c r="B52" s="33" t="n"/>
      <c r="C52" s="33" t="n"/>
      <c r="D52" s="33" t="n"/>
      <c r="E52" s="34" t="n"/>
      <c r="F52" s="35" t="n"/>
      <c r="G52" s="35" t="n"/>
      <c r="H52" s="36" t="n"/>
      <c r="I52" s="36" t="n"/>
      <c r="J52" s="37">
        <f>IF(H52=0,"",I52/H52)</f>
        <v/>
      </c>
      <c r="K52" s="38">
        <f>IF(I52=0,"",G52/I52)</f>
        <v/>
      </c>
      <c r="L52" s="14">
        <f>IF(A52="","",COUNTIFS('Vendas (Conversões)'!$C$2:$C$400,A52,'Vendas (Conversões)'!$G$2:$G$400,"Aprovada"))</f>
        <v/>
      </c>
      <c r="M52" s="39">
        <f>IF(A52="","",SUMIFS('Vendas (Conversões)'!$F$2:$F$400,'Vendas (Conversões)'!$C$2:$C$400,A52,'Vendas (Conversões)'!$G$2:$G$400,"Aprovada"))</f>
        <v/>
      </c>
      <c r="N52" s="38">
        <f>IF(M52="","",M52*Dashboard!$B$6)</f>
        <v/>
      </c>
      <c r="O52" s="40">
        <f>IF(OR(L52="",L52=0),"",G52/L52)</f>
        <v/>
      </c>
      <c r="P52" s="41">
        <f>IF(OR(G52="",G52=0),"",(N52-G52)/G52)</f>
        <v/>
      </c>
      <c r="Q52" s="38">
        <f>IF(OR(I52="",I52=0),"",N52/I52)</f>
        <v/>
      </c>
    </row>
    <row r="53">
      <c r="A53" s="33" t="n"/>
      <c r="B53" s="33" t="n"/>
      <c r="C53" s="33" t="n"/>
      <c r="D53" s="33" t="n"/>
      <c r="E53" s="34" t="n"/>
      <c r="F53" s="35" t="n"/>
      <c r="G53" s="35" t="n"/>
      <c r="H53" s="36" t="n"/>
      <c r="I53" s="36" t="n"/>
      <c r="J53" s="37">
        <f>IF(H53=0,"",I53/H53)</f>
        <v/>
      </c>
      <c r="K53" s="38">
        <f>IF(I53=0,"",G53/I53)</f>
        <v/>
      </c>
      <c r="L53" s="14">
        <f>IF(A53="","",COUNTIFS('Vendas (Conversões)'!$C$2:$C$400,A53,'Vendas (Conversões)'!$G$2:$G$400,"Aprovada"))</f>
        <v/>
      </c>
      <c r="M53" s="39">
        <f>IF(A53="","",SUMIFS('Vendas (Conversões)'!$F$2:$F$400,'Vendas (Conversões)'!$C$2:$C$400,A53,'Vendas (Conversões)'!$G$2:$G$400,"Aprovada"))</f>
        <v/>
      </c>
      <c r="N53" s="38">
        <f>IF(M53="","",M53*Dashboard!$B$6)</f>
        <v/>
      </c>
      <c r="O53" s="40">
        <f>IF(OR(L53="",L53=0),"",G53/L53)</f>
        <v/>
      </c>
      <c r="P53" s="41">
        <f>IF(OR(G53="",G53=0),"",(N53-G53)/G53)</f>
        <v/>
      </c>
      <c r="Q53" s="38">
        <f>IF(OR(I53="",I53=0),"",N53/I53)</f>
        <v/>
      </c>
    </row>
    <row r="54">
      <c r="A54" s="33" t="n"/>
      <c r="B54" s="33" t="n"/>
      <c r="C54" s="33" t="n"/>
      <c r="D54" s="33" t="n"/>
      <c r="E54" s="34" t="n"/>
      <c r="F54" s="35" t="n"/>
      <c r="G54" s="35" t="n"/>
      <c r="H54" s="36" t="n"/>
      <c r="I54" s="36" t="n"/>
      <c r="J54" s="37">
        <f>IF(H54=0,"",I54/H54)</f>
        <v/>
      </c>
      <c r="K54" s="38">
        <f>IF(I54=0,"",G54/I54)</f>
        <v/>
      </c>
      <c r="L54" s="14">
        <f>IF(A54="","",COUNTIFS('Vendas (Conversões)'!$C$2:$C$400,A54,'Vendas (Conversões)'!$G$2:$G$400,"Aprovada"))</f>
        <v/>
      </c>
      <c r="M54" s="39">
        <f>IF(A54="","",SUMIFS('Vendas (Conversões)'!$F$2:$F$400,'Vendas (Conversões)'!$C$2:$C$400,A54,'Vendas (Conversões)'!$G$2:$G$400,"Aprovada"))</f>
        <v/>
      </c>
      <c r="N54" s="38">
        <f>IF(M54="","",M54*Dashboard!$B$6)</f>
        <v/>
      </c>
      <c r="O54" s="40">
        <f>IF(OR(L54="",L54=0),"",G54/L54)</f>
        <v/>
      </c>
      <c r="P54" s="41">
        <f>IF(OR(G54="",G54=0),"",(N54-G54)/G54)</f>
        <v/>
      </c>
      <c r="Q54" s="38">
        <f>IF(OR(I54="",I54=0),"",N54/I54)</f>
        <v/>
      </c>
    </row>
    <row r="55">
      <c r="A55" s="33" t="n"/>
      <c r="B55" s="33" t="n"/>
      <c r="C55" s="33" t="n"/>
      <c r="D55" s="33" t="n"/>
      <c r="E55" s="34" t="n"/>
      <c r="F55" s="35" t="n"/>
      <c r="G55" s="35" t="n"/>
      <c r="H55" s="36" t="n"/>
      <c r="I55" s="36" t="n"/>
      <c r="J55" s="37">
        <f>IF(H55=0,"",I55/H55)</f>
        <v/>
      </c>
      <c r="K55" s="38">
        <f>IF(I55=0,"",G55/I55)</f>
        <v/>
      </c>
      <c r="L55" s="14">
        <f>IF(A55="","",COUNTIFS('Vendas (Conversões)'!$C$2:$C$400,A55,'Vendas (Conversões)'!$G$2:$G$400,"Aprovada"))</f>
        <v/>
      </c>
      <c r="M55" s="39">
        <f>IF(A55="","",SUMIFS('Vendas (Conversões)'!$F$2:$F$400,'Vendas (Conversões)'!$C$2:$C$400,A55,'Vendas (Conversões)'!$G$2:$G$400,"Aprovada"))</f>
        <v/>
      </c>
      <c r="N55" s="38">
        <f>IF(M55="","",M55*Dashboard!$B$6)</f>
        <v/>
      </c>
      <c r="O55" s="40">
        <f>IF(OR(L55="",L55=0),"",G55/L55)</f>
        <v/>
      </c>
      <c r="P55" s="41">
        <f>IF(OR(G55="",G55=0),"",(N55-G55)/G55)</f>
        <v/>
      </c>
      <c r="Q55" s="38">
        <f>IF(OR(I55="",I55=0),"",N55/I55)</f>
        <v/>
      </c>
    </row>
    <row r="56">
      <c r="A56" s="33" t="n"/>
      <c r="B56" s="33" t="n"/>
      <c r="C56" s="33" t="n"/>
      <c r="D56" s="33" t="n"/>
      <c r="E56" s="34" t="n"/>
      <c r="F56" s="35" t="n"/>
      <c r="G56" s="35" t="n"/>
      <c r="H56" s="36" t="n"/>
      <c r="I56" s="36" t="n"/>
      <c r="J56" s="37">
        <f>IF(H56=0,"",I56/H56)</f>
        <v/>
      </c>
      <c r="K56" s="38">
        <f>IF(I56=0,"",G56/I56)</f>
        <v/>
      </c>
      <c r="L56" s="14">
        <f>IF(A56="","",COUNTIFS('Vendas (Conversões)'!$C$2:$C$400,A56,'Vendas (Conversões)'!$G$2:$G$400,"Aprovada"))</f>
        <v/>
      </c>
      <c r="M56" s="39">
        <f>IF(A56="","",SUMIFS('Vendas (Conversões)'!$F$2:$F$400,'Vendas (Conversões)'!$C$2:$C$400,A56,'Vendas (Conversões)'!$G$2:$G$400,"Aprovada"))</f>
        <v/>
      </c>
      <c r="N56" s="38">
        <f>IF(M56="","",M56*Dashboard!$B$6)</f>
        <v/>
      </c>
      <c r="O56" s="40">
        <f>IF(OR(L56="",L56=0),"",G56/L56)</f>
        <v/>
      </c>
      <c r="P56" s="41">
        <f>IF(OR(G56="",G56=0),"",(N56-G56)/G56)</f>
        <v/>
      </c>
      <c r="Q56" s="38">
        <f>IF(OR(I56="",I56=0),"",N56/I56)</f>
        <v/>
      </c>
    </row>
    <row r="57">
      <c r="A57" s="33" t="n"/>
      <c r="B57" s="33" t="n"/>
      <c r="C57" s="33" t="n"/>
      <c r="D57" s="33" t="n"/>
      <c r="E57" s="34" t="n"/>
      <c r="F57" s="35" t="n"/>
      <c r="G57" s="35" t="n"/>
      <c r="H57" s="36" t="n"/>
      <c r="I57" s="36" t="n"/>
      <c r="J57" s="37">
        <f>IF(H57=0,"",I57/H57)</f>
        <v/>
      </c>
      <c r="K57" s="38">
        <f>IF(I57=0,"",G57/I57)</f>
        <v/>
      </c>
      <c r="L57" s="14">
        <f>IF(A57="","",COUNTIFS('Vendas (Conversões)'!$C$2:$C$400,A57,'Vendas (Conversões)'!$G$2:$G$400,"Aprovada"))</f>
        <v/>
      </c>
      <c r="M57" s="39">
        <f>IF(A57="","",SUMIFS('Vendas (Conversões)'!$F$2:$F$400,'Vendas (Conversões)'!$C$2:$C$400,A57,'Vendas (Conversões)'!$G$2:$G$400,"Aprovada"))</f>
        <v/>
      </c>
      <c r="N57" s="38">
        <f>IF(M57="","",M57*Dashboard!$B$6)</f>
        <v/>
      </c>
      <c r="O57" s="40">
        <f>IF(OR(L57="",L57=0),"",G57/L57)</f>
        <v/>
      </c>
      <c r="P57" s="41">
        <f>IF(OR(G57="",G57=0),"",(N57-G57)/G57)</f>
        <v/>
      </c>
      <c r="Q57" s="38">
        <f>IF(OR(I57="",I57=0),"",N57/I57)</f>
        <v/>
      </c>
    </row>
    <row r="58">
      <c r="A58" s="33" t="n"/>
      <c r="B58" s="33" t="n"/>
      <c r="C58" s="33" t="n"/>
      <c r="D58" s="33" t="n"/>
      <c r="E58" s="34" t="n"/>
      <c r="F58" s="35" t="n"/>
      <c r="G58" s="35" t="n"/>
      <c r="H58" s="36" t="n"/>
      <c r="I58" s="36" t="n"/>
      <c r="J58" s="37">
        <f>IF(H58=0,"",I58/H58)</f>
        <v/>
      </c>
      <c r="K58" s="38">
        <f>IF(I58=0,"",G58/I58)</f>
        <v/>
      </c>
      <c r="L58" s="14">
        <f>IF(A58="","",COUNTIFS('Vendas (Conversões)'!$C$2:$C$400,A58,'Vendas (Conversões)'!$G$2:$G$400,"Aprovada"))</f>
        <v/>
      </c>
      <c r="M58" s="39">
        <f>IF(A58="","",SUMIFS('Vendas (Conversões)'!$F$2:$F$400,'Vendas (Conversões)'!$C$2:$C$400,A58,'Vendas (Conversões)'!$G$2:$G$400,"Aprovada"))</f>
        <v/>
      </c>
      <c r="N58" s="38">
        <f>IF(M58="","",M58*Dashboard!$B$6)</f>
        <v/>
      </c>
      <c r="O58" s="40">
        <f>IF(OR(L58="",L58=0),"",G58/L58)</f>
        <v/>
      </c>
      <c r="P58" s="41">
        <f>IF(OR(G58="",G58=0),"",(N58-G58)/G58)</f>
        <v/>
      </c>
      <c r="Q58" s="38">
        <f>IF(OR(I58="",I58=0),"",N58/I58)</f>
        <v/>
      </c>
    </row>
    <row r="59">
      <c r="A59" s="33" t="n"/>
      <c r="B59" s="33" t="n"/>
      <c r="C59" s="33" t="n"/>
      <c r="D59" s="33" t="n"/>
      <c r="E59" s="34" t="n"/>
      <c r="F59" s="35" t="n"/>
      <c r="G59" s="35" t="n"/>
      <c r="H59" s="36" t="n"/>
      <c r="I59" s="36" t="n"/>
      <c r="J59" s="37">
        <f>IF(H59=0,"",I59/H59)</f>
        <v/>
      </c>
      <c r="K59" s="38">
        <f>IF(I59=0,"",G59/I59)</f>
        <v/>
      </c>
      <c r="L59" s="14">
        <f>IF(A59="","",COUNTIFS('Vendas (Conversões)'!$C$2:$C$400,A59,'Vendas (Conversões)'!$G$2:$G$400,"Aprovada"))</f>
        <v/>
      </c>
      <c r="M59" s="39">
        <f>IF(A59="","",SUMIFS('Vendas (Conversões)'!$F$2:$F$400,'Vendas (Conversões)'!$C$2:$C$400,A59,'Vendas (Conversões)'!$G$2:$G$400,"Aprovada"))</f>
        <v/>
      </c>
      <c r="N59" s="38">
        <f>IF(M59="","",M59*Dashboard!$B$6)</f>
        <v/>
      </c>
      <c r="O59" s="40">
        <f>IF(OR(L59="",L59=0),"",G59/L59)</f>
        <v/>
      </c>
      <c r="P59" s="41">
        <f>IF(OR(G59="",G59=0),"",(N59-G59)/G59)</f>
        <v/>
      </c>
      <c r="Q59" s="38">
        <f>IF(OR(I59="",I59=0),"",N59/I59)</f>
        <v/>
      </c>
    </row>
    <row r="60">
      <c r="A60" s="33" t="n"/>
      <c r="B60" s="33" t="n"/>
      <c r="C60" s="33" t="n"/>
      <c r="D60" s="33" t="n"/>
      <c r="E60" s="34" t="n"/>
      <c r="F60" s="35" t="n"/>
      <c r="G60" s="35" t="n"/>
      <c r="H60" s="36" t="n"/>
      <c r="I60" s="36" t="n"/>
      <c r="J60" s="37">
        <f>IF(H60=0,"",I60/H60)</f>
        <v/>
      </c>
      <c r="K60" s="38">
        <f>IF(I60=0,"",G60/I60)</f>
        <v/>
      </c>
      <c r="L60" s="14">
        <f>IF(A60="","",COUNTIFS('Vendas (Conversões)'!$C$2:$C$400,A60,'Vendas (Conversões)'!$G$2:$G$400,"Aprovada"))</f>
        <v/>
      </c>
      <c r="M60" s="39">
        <f>IF(A60="","",SUMIFS('Vendas (Conversões)'!$F$2:$F$400,'Vendas (Conversões)'!$C$2:$C$400,A60,'Vendas (Conversões)'!$G$2:$G$400,"Aprovada"))</f>
        <v/>
      </c>
      <c r="N60" s="38">
        <f>IF(M60="","",M60*Dashboard!$B$6)</f>
        <v/>
      </c>
      <c r="O60" s="40">
        <f>IF(OR(L60="",L60=0),"",G60/L60)</f>
        <v/>
      </c>
      <c r="P60" s="41">
        <f>IF(OR(G60="",G60=0),"",(N60-G60)/G60)</f>
        <v/>
      </c>
      <c r="Q60" s="38">
        <f>IF(OR(I60="",I60=0),"",N60/I60)</f>
        <v/>
      </c>
    </row>
  </sheetData>
  <dataValidations count="2">
    <dataValidation sqref="C2:C60" showDropDown="0" showInputMessage="0" showErrorMessage="0" allowBlank="1" type="list">
      <formula1>"MaxWeb,Digistore24,ClickBank,Outra"</formula1>
    </dataValidation>
    <dataValidation sqref="D2:D60" showDropDown="0" showInputMessage="0" showErrorMessage="0" allowBlank="1" type="list">
      <formula1>"Pesquisa,Display,Performance Max,Vídeo,Remarketing"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3" customWidth="1" min="3" max="3"/>
    <col width="40" customWidth="1" min="4" max="4"/>
    <col width="3" customWidth="1" min="5" max="5"/>
    <col width="3" customWidth="1" min="6" max="6"/>
  </cols>
  <sheetData>
    <row r="1" ht="26" customHeight="1">
      <c r="A1" s="1" t="inlineStr">
        <is>
          <t>Controle de Rotina — Entrada Digital (Google Ads / Afiliados)</t>
        </is>
      </c>
    </row>
    <row r="2" ht="16" customHeight="1">
      <c r="A2" s="2" t="inlineStr">
        <is>
          <t>Como usar esta planilha</t>
        </is>
      </c>
    </row>
    <row r="4" ht="34" customHeight="1">
      <c r="B4" s="3" t="inlineStr">
        <is>
          <t>O que é</t>
        </is>
      </c>
      <c r="D4" s="42" t="inlineStr">
        <is>
          <t>Controle pessoal (Fernanda) da rotina diária de campanhas Google Ads para ofertas de marketing de afiliados (ex.: comunidade Viver de Dólar / Thiago Boeira), com vendas registradas em MaxWeb, Digistore24, ClickBank ou outra plataforma.</t>
        </is>
      </c>
    </row>
    <row r="5" ht="34" customHeight="1">
      <c r="B5" s="3" t="inlineStr">
        <is>
          <t>Abas</t>
        </is>
      </c>
      <c r="D5" s="42" t="inlineStr">
        <is>
          <t>Rotina Diária | Vendas (Conversões) | Campanhas Google Ads | Dashboard</t>
        </is>
      </c>
    </row>
    <row r="6" ht="34" customHeight="1">
      <c r="B6" s="3" t="inlineStr">
        <is>
          <t>Moedas</t>
        </is>
      </c>
      <c r="D6" s="42" t="inlineStr">
        <is>
          <t>O investimento no Google Ads é lançado em Reais (R$) e a comissão de afiliado em Dólar (US$), como essas plataformas pagam. A cotação do dólar do dia fica na aba Dashboard, célula B6 — é ela que converte a comissão para R$ e calcula o ROI em uma moeda só.</t>
        </is>
      </c>
    </row>
    <row r="7" ht="34" customHeight="1">
      <c r="B7" s="3" t="inlineStr">
        <is>
          <t>Células amarelas</t>
        </is>
      </c>
      <c r="D7" s="42" t="inlineStr">
        <is>
          <t>São os campos de preenchimento manual. O resto é calculado por fórmula — não sobrescreva.</t>
        </is>
      </c>
    </row>
    <row r="8" ht="34" customHeight="1">
      <c r="B8" s="3" t="inlineStr">
        <is>
          <t>Rotina Diária</t>
        </is>
      </c>
      <c r="D8" s="42" t="inlineStr">
        <is>
          <t>Checklist diário: conferir métricas, cortar anúncio caro, checar política do Google Ads (evita suspensão de conta), conferir vendas/comissões na plataforma, atualizar status.</t>
        </is>
      </c>
    </row>
    <row r="9" ht="34" customHeight="1">
      <c r="B9" s="3" t="inlineStr">
        <is>
          <t>Vendas (Conversões)</t>
        </is>
      </c>
      <c r="D9" s="42" t="inlineStr">
        <is>
          <t>Uma venda por linha. Status Pendente/Aprovada/Cancelada-Reembolsada, como nas plataformas de afiliado (a comissão só é garantida quando aprovada).</t>
        </is>
      </c>
    </row>
    <row r="10" ht="34" customHeight="1">
      <c r="B10" s="3" t="inlineStr">
        <is>
          <t>Campanhas Google Ads</t>
        </is>
      </c>
      <c r="D10" s="42" t="inlineStr">
        <is>
          <t>Um resumo por campanha. Vendas e comissão são somadas automaticamente a partir da aba Vendas, considerando só as vendas com status Aprovada.</t>
        </is>
      </c>
    </row>
    <row r="11" ht="34" customHeight="1">
      <c r="B11" s="3" t="inlineStr">
        <is>
          <t>Dashboard</t>
        </is>
      </c>
      <c r="D11" s="42" t="inlineStr">
        <is>
          <t>Indicadores do período selecionado (datas em B4/B5) e funil por status de venda.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2026-09-22T16:40:29Z</dcterms:created>
  <dcterms:modified xsi:type="dcterms:W3CDTF">2026-09-22T16:40:30Z</dcterms:modified>
</cp:coreProperties>
</file>