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Orçamento" sheetId="2" state="visible" r:id="rId4"/>
    <sheet name="Execução" sheetId="3" state="visible" r:id="rId5"/>
    <sheet name="Gastos" sheetId="4" state="visible" r:id="rId6"/>
    <sheet name="Listas de Apo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<sst xmlns="http://schemas.openxmlformats.org/spreadsheetml/2006/main" count="229" uniqueCount="125">
  <si>
    <t xml:space="preserve">CONTROLE DE EXECUÇÃO DE OBRA</t>
  </si>
  <si>
    <t xml:space="preserve">Informações da Obra</t>
  </si>
  <si>
    <t xml:space="preserve">Nome da Obra:</t>
  </si>
  <si>
    <t xml:space="preserve">Residência Família Souza</t>
  </si>
  <si>
    <t xml:space="preserve">Cliente:</t>
  </si>
  <si>
    <t xml:space="preserve">João Souza</t>
  </si>
  <si>
    <t xml:space="preserve">Endereço:</t>
  </si>
  <si>
    <t xml:space="preserve">Rua das Flores, 123 - Cidade/UF</t>
  </si>
  <si>
    <t xml:space="preserve">Data de Início:</t>
  </si>
  <si>
    <t xml:space="preserve">Previsão de Término:</t>
  </si>
  <si>
    <t xml:space="preserve">Indicadores Gerais</t>
  </si>
  <si>
    <t xml:space="preserve">Valor Total Orçado (Contrato)</t>
  </si>
  <si>
    <t xml:space="preserve">Total Executado (Valor Agregado - EV)</t>
  </si>
  <si>
    <t xml:space="preserve">% Avanço Físico da Obra</t>
  </si>
  <si>
    <t xml:space="preserve">Total Gasto (Custo Real - AC)</t>
  </si>
  <si>
    <t xml:space="preserve">Lucro Acumulado (Valor Agregado - Custo Real)</t>
  </si>
  <si>
    <t xml:space="preserve">Margem sobre o Valor Executado (%)</t>
  </si>
  <si>
    <t xml:space="preserve">Índice de Desempenho de Custo (IDC = VA / Custo Real)</t>
  </si>
  <si>
    <t xml:space="preserve">Saldo do Orçamento a Executar</t>
  </si>
  <si>
    <t xml:space="preserve">Status por Etapa (última medição de cada etapa)</t>
  </si>
  <si>
    <t xml:space="preserve">Etapa</t>
  </si>
  <si>
    <t xml:space="preserve">Valor Orçado (R$)</t>
  </si>
  <si>
    <t xml:space="preserve">Última Medição</t>
  </si>
  <si>
    <t xml:space="preserve">% Executado</t>
  </si>
  <si>
    <t xml:space="preserve">Valor Agregado (R$)</t>
  </si>
  <si>
    <t xml:space="preserve">Gasto Real (R$)</t>
  </si>
  <si>
    <t xml:space="preserve">Resultado (R$)</t>
  </si>
  <si>
    <t xml:space="preserve">Fundação</t>
  </si>
  <si>
    <t xml:space="preserve">Estrutura</t>
  </si>
  <si>
    <t xml:space="preserve">Alvenaria</t>
  </si>
  <si>
    <t xml:space="preserve">Cobertura</t>
  </si>
  <si>
    <t xml:space="preserve">Instalações Elétricas</t>
  </si>
  <si>
    <t xml:space="preserve">Instalações Hidráulicas</t>
  </si>
  <si>
    <t xml:space="preserve">Revestimentos e Acabamento</t>
  </si>
  <si>
    <t xml:space="preserve">Esquadrias</t>
  </si>
  <si>
    <t xml:space="preserve">Limpeza Final e Entrega</t>
  </si>
  <si>
    <t xml:space="preserve">Administrativo/Geral</t>
  </si>
  <si>
    <t xml:space="preserve">TOTAL</t>
  </si>
  <si>
    <t xml:space="preserve">Legenda e observações</t>
  </si>
  <si>
    <t xml:space="preserve">• Células em amarelo/azul: preencha com seus dados (nas abas Orçamento, Execução, Gastos e nas informações da obra acima). Células em branco/preto contêm fórmulas — não é necessário editá-las.
• Valor Agregado (EV): valor do orçamento correspondente ao percentual físico já executado de cada etapa (% Executado × Valor Orçado da Etapa). Reflete o quanto da obra já foi "ganho" financeiramente, independente do que já foi efetivamente gasto ou recebido.
• Lucro Acumulado: calculado como Valor Agregado − Custo Real (gasto). Compara o valor da obra já executada com o que já foi gasto para executá-la; se você fatura/recebe valores diferentes do orçado, ajuste essa leitura com base em sua receita real.
• IDC (Índice de Desempenho de Custo): acima de 1,00 indica que a obra está custando menos do que o valor executado sugere (bom); abaixo de 1,00 indica estouro de custo.</t>
  </si>
  <si>
    <t xml:space="preserve">Item / Serviço</t>
  </si>
  <si>
    <t xml:space="preserve">Unidade</t>
  </si>
  <si>
    <t xml:space="preserve">Quantidade</t>
  </si>
  <si>
    <t xml:space="preserve">Valor Unitário (R$)</t>
  </si>
  <si>
    <t xml:space="preserve">% do Orçamento</t>
  </si>
  <si>
    <t xml:space="preserve">Escavação</t>
  </si>
  <si>
    <t xml:space="preserve">m³</t>
  </si>
  <si>
    <t xml:space="preserve">Concreto para fundação</t>
  </si>
  <si>
    <t xml:space="preserve">Ferragem (aço)</t>
  </si>
  <si>
    <t xml:space="preserve">kg</t>
  </si>
  <si>
    <t xml:space="preserve">Concreto (pilares e vigas)</t>
  </si>
  <si>
    <t xml:space="preserve">Ferragem da estrutura</t>
  </si>
  <si>
    <t xml:space="preserve">Formas de madeira</t>
  </si>
  <si>
    <t xml:space="preserve">m²</t>
  </si>
  <si>
    <t xml:space="preserve">Tijolos/blocos</t>
  </si>
  <si>
    <t xml:space="preserve">Argamassa de assentamento</t>
  </si>
  <si>
    <t xml:space="preserve">Estrutura de telhado (madeirado)</t>
  </si>
  <si>
    <t xml:space="preserve">Telhas</t>
  </si>
  <si>
    <t xml:space="preserve">Material elétrico</t>
  </si>
  <si>
    <t xml:space="preserve">vb</t>
  </si>
  <si>
    <t xml:space="preserve">Mão de obra elétrica</t>
  </si>
  <si>
    <t xml:space="preserve">Material hidráulico</t>
  </si>
  <si>
    <t xml:space="preserve">Mão de obra hidráulica</t>
  </si>
  <si>
    <t xml:space="preserve">Reboco/emboço</t>
  </si>
  <si>
    <t xml:space="preserve">Piso cerâmico</t>
  </si>
  <si>
    <t xml:space="preserve">Pintura</t>
  </si>
  <si>
    <t xml:space="preserve">Portas</t>
  </si>
  <si>
    <t xml:space="preserve">un</t>
  </si>
  <si>
    <t xml:space="preserve">Janelas</t>
  </si>
  <si>
    <t xml:space="preserve">Limpeza pós-obra</t>
  </si>
  <si>
    <t xml:space="preserve">Projeto e taxas (ART, alvará)</t>
  </si>
  <si>
    <t xml:space="preserve">Data</t>
  </si>
  <si>
    <t xml:space="preserve">% Executado Acumulado</t>
  </si>
  <si>
    <t xml:space="preserve">Valor Orçado da Etapa (R$)</t>
  </si>
  <si>
    <t xml:space="preserve">Observações</t>
  </si>
  <si>
    <t xml:space="preserve">Fundação concluída</t>
  </si>
  <si>
    <t xml:space="preserve">Pilares e vigas do térreo executados</t>
  </si>
  <si>
    <t xml:space="preserve">Estrutura concluída</t>
  </si>
  <si>
    <t xml:space="preserve">Alvenaria concluída</t>
  </si>
  <si>
    <t xml:space="preserve">Este é um histórico de medições de avanço físico. A cada nova medição de uma etapa, adicione uma nova linha com a data e o novo % acumulado da etapa (não é preciso apagar as medições antigas). A aba Resumo consolida automaticamente sempre a medição mais recente de cada etapa.</t>
  </si>
  <si>
    <t xml:space="preserve">Categoria</t>
  </si>
  <si>
    <t xml:space="preserve">Descrição</t>
  </si>
  <si>
    <t xml:space="preserve">Fornecedor</t>
  </si>
  <si>
    <t xml:space="preserve">Forma de Pagamento</t>
  </si>
  <si>
    <t xml:space="preserve">Valor (R$)</t>
  </si>
  <si>
    <t xml:space="preserve">Administrativo/Taxas</t>
  </si>
  <si>
    <t xml:space="preserve">ART + alvará de construção</t>
  </si>
  <si>
    <t xml:space="preserve">Prefeitura/CREA</t>
  </si>
  <si>
    <t xml:space="preserve">Boleto</t>
  </si>
  <si>
    <t xml:space="preserve">Material</t>
  </si>
  <si>
    <t xml:space="preserve">Compra de cimento e areia</t>
  </si>
  <si>
    <t xml:space="preserve">Casa do Construtor</t>
  </si>
  <si>
    <t xml:space="preserve">PIX</t>
  </si>
  <si>
    <t xml:space="preserve">Mão de obra</t>
  </si>
  <si>
    <t xml:space="preserve">Equipe de fundação</t>
  </si>
  <si>
    <t xml:space="preserve">Empreiteira Silva</t>
  </si>
  <si>
    <t xml:space="preserve">Transferência (TED/DOC)</t>
  </si>
  <si>
    <t xml:space="preserve">Ferro e arame recozido</t>
  </si>
  <si>
    <t xml:space="preserve">Aço Master</t>
  </si>
  <si>
    <t xml:space="preserve">Concreto usinado</t>
  </si>
  <si>
    <t xml:space="preserve">Concrebras</t>
  </si>
  <si>
    <t xml:space="preserve">Equipe de armação e forma</t>
  </si>
  <si>
    <t xml:space="preserve">Outros</t>
  </si>
  <si>
    <t xml:space="preserve">Taxas de projeto complementar</t>
  </si>
  <si>
    <t xml:space="preserve">Escritório Eng. Souza</t>
  </si>
  <si>
    <t xml:space="preserve">Equipamento/Aluguel</t>
  </si>
  <si>
    <t xml:space="preserve">Aluguel de betoneira</t>
  </si>
  <si>
    <t xml:space="preserve">Locadora Obra Fácil</t>
  </si>
  <si>
    <t xml:space="preserve">Cartão de Crédito</t>
  </si>
  <si>
    <t xml:space="preserve">Blocos e argamassa</t>
  </si>
  <si>
    <t xml:space="preserve">Equipe de alvenaria</t>
  </si>
  <si>
    <t xml:space="preserve">Empreiteira Costa</t>
  </si>
  <si>
    <t xml:space="preserve">Madeira e telhas</t>
  </si>
  <si>
    <t xml:space="preserve">Madeireira Bom Pinho</t>
  </si>
  <si>
    <t xml:space="preserve">Serviço terceirizado</t>
  </si>
  <si>
    <t xml:space="preserve">Adiantamento eletricista</t>
  </si>
  <si>
    <t xml:space="preserve">Eletricista João</t>
  </si>
  <si>
    <t xml:space="preserve">Adiantamento encanador</t>
  </si>
  <si>
    <t xml:space="preserve">Hidráulica Total</t>
  </si>
  <si>
    <t xml:space="preserve">Etapas da Obra</t>
  </si>
  <si>
    <t xml:space="preserve">Categorias de Gasto</t>
  </si>
  <si>
    <t xml:space="preserve">Formas de Pagamento</t>
  </si>
  <si>
    <t xml:space="preserve">Dinheiro</t>
  </si>
  <si>
    <t xml:space="preserve">Cheque</t>
  </si>
  <si>
    <t xml:space="preserve">Nota: para adicionar uma nova etapa/categoria/forma de pagamento, inclua uma linha nesta aba e ajuste os intervalos de validação (Dados &gt; Validação de Dados) nas abas Orçamento, Execução e Gastos.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</si>
</sst>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0.0%"/>
    <numFmt numFmtId="168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BFBFBF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Orçado x Valor Agregado x Gasto Real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Resumo!B21</c:f>
              <c:strCache>
                <c:ptCount val="1"/>
                <c:pt idx="0">
                  <c:v>Valor Orçado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Resumo!$A$22:$A$31</c:f>
              <c:strCache>
                <c:ptCount val="10"/>
                <c:pt idx="0">
                  <c:v>Fundação</c:v>
                </c:pt>
                <c:pt idx="1">
                  <c:v>Estrutura</c:v>
                </c:pt>
                <c:pt idx="2">
                  <c:v>Alvenaria</c:v>
                </c:pt>
                <c:pt idx="3">
                  <c:v>Cobertura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 e Acabamento</c:v>
                </c:pt>
                <c:pt idx="7">
                  <c:v>Esquadrias</c:v>
                </c:pt>
                <c:pt idx="8">
                  <c:v>Limpeza Final e Entrega</c:v>
                </c:pt>
                <c:pt idx="9">
                  <c:v>Administrativo/Geral</c:v>
                </c:pt>
              </c:strCache>
            </c:strRef>
          </c:cat>
          <c:val>
            <c:numRef>
              <c:f>Resumo!$B$22:$B$31</c:f>
              <c:numCache>
                <c:formatCode>"R$ "#,##0.00</c:formatCode>
                <c:ptCount val="10"/>
                <c:pt idx="0">
                  <c:v>20150</c:v>
                </c:pt>
                <c:pt idx="1">
                  <c:v>40000</c:v>
                </c:pt>
                <c:pt idx="2">
                  <c:v>20300</c:v>
                </c:pt>
                <c:pt idx="3">
                  <c:v>23400</c:v>
                </c:pt>
                <c:pt idx="4">
                  <c:v>27000</c:v>
                </c:pt>
                <c:pt idx="5">
                  <c:v>23000</c:v>
                </c:pt>
                <c:pt idx="6">
                  <c:v>37650</c:v>
                </c:pt>
                <c:pt idx="7">
                  <c:v>14400</c:v>
                </c:pt>
                <c:pt idx="8">
                  <c:v>3000</c:v>
                </c:pt>
                <c:pt idx="9">
                  <c:v>4000</c:v>
                </c:pt>
              </c:numCache>
            </c:numRef>
          </c:val>
        </c:ser>
        <c:ser>
          <c:idx val="1"/>
          <c:order val="1"/>
          <c:tx>
            <c:strRef>
              <c:f>Resumo!E21</c:f>
              <c:strCache>
                <c:ptCount val="1"/>
                <c:pt idx="0">
                  <c:v>Valor Agregado (R$)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Resumo!$A$22:$A$31</c:f>
              <c:strCache>
                <c:ptCount val="10"/>
                <c:pt idx="0">
                  <c:v>Fundação</c:v>
                </c:pt>
                <c:pt idx="1">
                  <c:v>Estrutura</c:v>
                </c:pt>
                <c:pt idx="2">
                  <c:v>Alvenaria</c:v>
                </c:pt>
                <c:pt idx="3">
                  <c:v>Cobertura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 e Acabamento</c:v>
                </c:pt>
                <c:pt idx="7">
                  <c:v>Esquadrias</c:v>
                </c:pt>
                <c:pt idx="8">
                  <c:v>Limpeza Final e Entrega</c:v>
                </c:pt>
                <c:pt idx="9">
                  <c:v>Administrativo/Geral</c:v>
                </c:pt>
              </c:strCache>
            </c:strRef>
          </c:cat>
          <c:val>
            <c:numRef>
              <c:f>Resumo!$E$22:$E$31</c:f>
              <c:numCache>
                <c:formatCode>"R$ "#,##0.00</c:formatCode>
                <c:ptCount val="10"/>
                <c:pt idx="0">
                  <c:v>20150</c:v>
                </c:pt>
                <c:pt idx="1">
                  <c:v>40000</c:v>
                </c:pt>
                <c:pt idx="2">
                  <c:v>20300</c:v>
                </c:pt>
                <c:pt idx="3">
                  <c:v>7020</c:v>
                </c:pt>
                <c:pt idx="4">
                  <c:v>4050</c:v>
                </c:pt>
                <c:pt idx="5">
                  <c:v>2300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Resumo!F21</c:f>
              <c:strCache>
                <c:ptCount val="1"/>
                <c:pt idx="0">
                  <c:v>Gasto Real (R$)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Resumo!$A$22:$A$31</c:f>
              <c:strCache>
                <c:ptCount val="10"/>
                <c:pt idx="0">
                  <c:v>Fundação</c:v>
                </c:pt>
                <c:pt idx="1">
                  <c:v>Estrutura</c:v>
                </c:pt>
                <c:pt idx="2">
                  <c:v>Alvenaria</c:v>
                </c:pt>
                <c:pt idx="3">
                  <c:v>Cobertura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 e Acabamento</c:v>
                </c:pt>
                <c:pt idx="7">
                  <c:v>Esquadrias</c:v>
                </c:pt>
                <c:pt idx="8">
                  <c:v>Limpeza Final e Entrega</c:v>
                </c:pt>
                <c:pt idx="9">
                  <c:v>Administrativo/Geral</c:v>
                </c:pt>
              </c:strCache>
            </c:strRef>
          </c:cat>
          <c:val>
            <c:numRef>
              <c:f>Resumo!$F$22:$F$31</c:f>
              <c:numCache>
                <c:formatCode>"R$ "#,##0.00</c:formatCode>
                <c:ptCount val="10"/>
                <c:pt idx="0">
                  <c:v>16000</c:v>
                </c:pt>
                <c:pt idx="1">
                  <c:v>20600</c:v>
                </c:pt>
                <c:pt idx="2">
                  <c:v>14300</c:v>
                </c:pt>
                <c:pt idx="3">
                  <c:v>9800</c:v>
                </c:pt>
                <c:pt idx="4">
                  <c:v>3000</c:v>
                </c:pt>
                <c:pt idx="5">
                  <c:v>2500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3000</c:v>
                </c:pt>
              </c:numCache>
            </c:numRef>
          </c:val>
        </c:ser>
        <c:gapWidth val="150"/>
        <c:overlap val="0"/>
        <c:axId val="27848560"/>
        <c:axId val="60911171"/>
      </c:barChart>
      <c:catAx>
        <c:axId val="27848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Etapa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11171"/>
        <c:crosses val="autoZero"/>
        <c:auto val="1"/>
        <c:lblAlgn val="ctr"/>
        <c:lblOffset val="100"/>
        <c:noMultiLvlLbl val="0"/>
      </c:catAx>
      <c:valAx>
        <c:axId val="60911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48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175680</xdr:rowOff>
    </xdr:from>
    <xdr:to>
      <xdr:col>5</xdr:col>
      <xdr:colOff>460800</xdr:colOff>
      <xdr:row>57</xdr:row>
      <xdr:rowOff>176760</xdr:rowOff>
    </xdr:to>
    <xdr:graphicFrame>
      <xdr:nvGraphicFramePr>
        <xdr:cNvPr id="0" name="Chart 1"/>
        <xdr:cNvGraphicFramePr/>
      </xdr:nvGraphicFramePr>
      <xdr:xfrm>
        <a:off x="0" y="82771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2</v>
      </c>
      <c r="C4" s="4" t="s">
        <v>3</v>
      </c>
      <c r="D4" s="4"/>
      <c r="E4" s="3" t="s">
        <v>4</v>
      </c>
      <c r="F4" s="5" t="s">
        <v>5</v>
      </c>
    </row>
    <row r="5" customFormat="false" ht="15" hidden="false" customHeight="false" outlineLevel="0" collapsed="false">
      <c r="A5" s="3" t="s">
        <v>6</v>
      </c>
      <c r="C5" s="4" t="s">
        <v>7</v>
      </c>
      <c r="D5" s="4"/>
      <c r="E5" s="4"/>
      <c r="F5" s="4"/>
      <c r="G5" s="4"/>
    </row>
    <row r="6" customFormat="false" ht="15" hidden="false" customHeight="false" outlineLevel="0" collapsed="false">
      <c r="A6" s="3" t="s">
        <v>8</v>
      </c>
      <c r="C6" s="6" t="n">
        <v>46027</v>
      </c>
      <c r="E6" s="3" t="s">
        <v>9</v>
      </c>
      <c r="F6" s="6" t="n">
        <v>46295</v>
      </c>
    </row>
    <row r="8" customFormat="false" ht="19.5" hidden="false" customHeight="true" outlineLevel="0" collapsed="false">
      <c r="A8" s="2" t="s">
        <v>10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7" t="s">
        <v>11</v>
      </c>
      <c r="B9" s="7"/>
      <c r="C9" s="8" t="n">
        <f aca="false">Orçamento!$F$23</f>
        <v>212900</v>
      </c>
      <c r="D9" s="8"/>
    </row>
    <row r="10" customFormat="false" ht="15" hidden="false" customHeight="false" outlineLevel="0" collapsed="false">
      <c r="A10" s="7" t="s">
        <v>12</v>
      </c>
      <c r="B10" s="7"/>
      <c r="C10" s="8" t="n">
        <f aca="false">E32</f>
        <v>93820</v>
      </c>
      <c r="D10" s="8"/>
    </row>
    <row r="11" customFormat="false" ht="15" hidden="false" customHeight="false" outlineLevel="0" collapsed="false">
      <c r="A11" s="7" t="s">
        <v>13</v>
      </c>
      <c r="B11" s="7"/>
      <c r="C11" s="9" t="n">
        <f aca="false">IFERROR(C10/C9,0)</f>
        <v>0.440676373884453</v>
      </c>
      <c r="D11" s="9"/>
    </row>
    <row r="12" customFormat="false" ht="15" hidden="false" customHeight="false" outlineLevel="0" collapsed="false">
      <c r="A12" s="7" t="s">
        <v>14</v>
      </c>
      <c r="B12" s="7"/>
      <c r="C12" s="8" t="n">
        <f aca="false">SUM(Gastos!$G$2:$G$40)</f>
        <v>69200</v>
      </c>
      <c r="D12" s="8"/>
    </row>
    <row r="13" customFormat="false" ht="15" hidden="false" customHeight="false" outlineLevel="0" collapsed="false">
      <c r="A13" s="10" t="s">
        <v>15</v>
      </c>
      <c r="B13" s="10"/>
      <c r="C13" s="11" t="n">
        <f aca="false">C10-C12</f>
        <v>24620</v>
      </c>
      <c r="D13" s="11"/>
    </row>
    <row r="14" customFormat="false" ht="15" hidden="false" customHeight="false" outlineLevel="0" collapsed="false">
      <c r="A14" s="7" t="s">
        <v>16</v>
      </c>
      <c r="B14" s="7"/>
      <c r="C14" s="9" t="n">
        <f aca="false">IFERROR(C13/C10,0)</f>
        <v>0.262417395011725</v>
      </c>
      <c r="D14" s="9"/>
    </row>
    <row r="15" customFormat="false" ht="15" hidden="false" customHeight="false" outlineLevel="0" collapsed="false">
      <c r="A15" s="7" t="s">
        <v>17</v>
      </c>
      <c r="B15" s="7"/>
      <c r="C15" s="12" t="n">
        <f aca="false">IFERROR(C10/C12,0)</f>
        <v>1.35578034682081</v>
      </c>
      <c r="D15" s="12"/>
    </row>
    <row r="16" customFormat="false" ht="15" hidden="false" customHeight="false" outlineLevel="0" collapsed="false">
      <c r="A16" s="7" t="s">
        <v>18</v>
      </c>
      <c r="B16" s="7"/>
      <c r="C16" s="8" t="n">
        <f aca="false">C9-C10</f>
        <v>119080</v>
      </c>
      <c r="D16" s="8"/>
    </row>
    <row r="19" customFormat="false" ht="19.5" hidden="false" customHeight="true" outlineLevel="0" collapsed="false">
      <c r="A19" s="2" t="s">
        <v>19</v>
      </c>
      <c r="B19" s="2"/>
      <c r="C19" s="2"/>
      <c r="D19" s="2"/>
      <c r="E19" s="2"/>
      <c r="F19" s="2"/>
      <c r="G19" s="2"/>
    </row>
    <row r="21" customFormat="false" ht="21.75" hidden="false" customHeight="true" outlineLevel="0" collapsed="false">
      <c r="A21" s="13" t="s">
        <v>20</v>
      </c>
      <c r="B21" s="13" t="s">
        <v>21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26</v>
      </c>
    </row>
    <row r="22" customFormat="false" ht="15" hidden="false" customHeight="false" outlineLevel="0" collapsed="false">
      <c r="A22" s="14" t="s">
        <v>27</v>
      </c>
      <c r="B22" s="15" t="n">
        <f aca="false">SUMIF(Orçamento!$A$2:$A$22,$A22,Orçamento!$F$2:$F$22)</f>
        <v>20150</v>
      </c>
      <c r="C22" s="16" t="n">
        <f aca="false">IFERROR(IF(_xlfn.MAXIFS(Execução!$A$2:$A$30,Execução!$B$2:$B$30,$A22)=0,"",_xlfn.MAXIFS(Execução!$A$2:$A$30,Execução!$B$2:$B$30,$A22)),"")</f>
        <v>46042</v>
      </c>
      <c r="D22" s="17" t="n">
        <f aca="false">IFERROR(IF($C22="",0,SUMPRODUCT((Execução!$B$2:$B$30=$A22)*(Execução!$A$2:$A$30=$C22)*Execução!$C$2:$C$30)/SUMPRODUCT((Execução!$B$2:$B$30=$A22)*(Execução!$A$2:$A$30=$C22)*1)),0)</f>
        <v>1</v>
      </c>
      <c r="E22" s="15" t="n">
        <f aca="false">$B22*$D22</f>
        <v>20150</v>
      </c>
      <c r="F22" s="15" t="n">
        <f aca="false">SUMIF(Gastos!$C$2:$C$40,$A22,Gastos!$G$2:$G$40)</f>
        <v>16000</v>
      </c>
      <c r="G22" s="15" t="n">
        <f aca="false">E22-F22</f>
        <v>4150</v>
      </c>
    </row>
    <row r="23" customFormat="false" ht="15" hidden="false" customHeight="false" outlineLevel="0" collapsed="false">
      <c r="A23" s="14" t="s">
        <v>28</v>
      </c>
      <c r="B23" s="15" t="n">
        <f aca="false">SUMIF(Orçamento!$A$2:$A$22,$A23,Orçamento!$F$2:$F$22)</f>
        <v>40000</v>
      </c>
      <c r="C23" s="16" t="n">
        <f aca="false">IFERROR(IF(_xlfn.MAXIFS(Execução!$A$2:$A$30,Execução!$B$2:$B$30,$A23)=0,"",_xlfn.MAXIFS(Execução!$A$2:$A$30,Execução!$B$2:$B$30,$A23)),"")</f>
        <v>46078</v>
      </c>
      <c r="D23" s="17" t="n">
        <f aca="false">IFERROR(IF($C23="",0,SUMPRODUCT((Execução!$B$2:$B$30=$A23)*(Execução!$A$2:$A$30=$C23)*Execução!$C$2:$C$30)/SUMPRODUCT((Execução!$B$2:$B$30=$A23)*(Execução!$A$2:$A$30=$C23)*1)),0)</f>
        <v>1</v>
      </c>
      <c r="E23" s="15" t="n">
        <f aca="false">$B23*$D23</f>
        <v>40000</v>
      </c>
      <c r="F23" s="15" t="n">
        <f aca="false">SUMIF(Gastos!$C$2:$C$40,$A23,Gastos!$G$2:$G$40)</f>
        <v>20600</v>
      </c>
      <c r="G23" s="15" t="n">
        <f aca="false">E23-F23</f>
        <v>19400</v>
      </c>
    </row>
    <row r="24" customFormat="false" ht="15" hidden="false" customHeight="false" outlineLevel="0" collapsed="false">
      <c r="A24" s="14" t="s">
        <v>29</v>
      </c>
      <c r="B24" s="15" t="n">
        <f aca="false">SUMIF(Orçamento!$A$2:$A$22,$A24,Orçamento!$F$2:$F$22)</f>
        <v>20300</v>
      </c>
      <c r="C24" s="16" t="n">
        <f aca="false">IFERROR(IF(_xlfn.MAXIFS(Execução!$A$2:$A$30,Execução!$B$2:$B$30,$A24)=0,"",_xlfn.MAXIFS(Execução!$A$2:$A$30,Execução!$B$2:$B$30,$A24)),"")</f>
        <v>46099</v>
      </c>
      <c r="D24" s="17" t="n">
        <f aca="false">IFERROR(IF($C24="",0,SUMPRODUCT((Execução!$B$2:$B$30=$A24)*(Execução!$A$2:$A$30=$C24)*Execução!$C$2:$C$30)/SUMPRODUCT((Execução!$B$2:$B$30=$A24)*(Execução!$A$2:$A$30=$C24)*1)),0)</f>
        <v>1</v>
      </c>
      <c r="E24" s="15" t="n">
        <f aca="false">$B24*$D24</f>
        <v>20300</v>
      </c>
      <c r="F24" s="15" t="n">
        <f aca="false">SUMIF(Gastos!$C$2:$C$40,$A24,Gastos!$G$2:$G$40)</f>
        <v>14300</v>
      </c>
      <c r="G24" s="15" t="n">
        <f aca="false">E24-F24</f>
        <v>6000</v>
      </c>
    </row>
    <row r="25" customFormat="false" ht="15" hidden="false" customHeight="false" outlineLevel="0" collapsed="false">
      <c r="A25" s="14" t="s">
        <v>30</v>
      </c>
      <c r="B25" s="15" t="n">
        <f aca="false">SUMIF(Orçamento!$A$2:$A$22,$A25,Orçamento!$F$2:$F$22)</f>
        <v>23400</v>
      </c>
      <c r="C25" s="16" t="n">
        <f aca="false">IFERROR(IF(_xlfn.MAXIFS(Execução!$A$2:$A$30,Execução!$B$2:$B$30,$A25)=0,"",_xlfn.MAXIFS(Execução!$A$2:$A$30,Execução!$B$2:$B$30,$A25)),"")</f>
        <v>46101</v>
      </c>
      <c r="D25" s="17" t="n">
        <f aca="false">IFERROR(IF($C25="",0,SUMPRODUCT((Execução!$B$2:$B$30=$A25)*(Execução!$A$2:$A$30=$C25)*Execução!$C$2:$C$30)/SUMPRODUCT((Execução!$B$2:$B$30=$A25)*(Execução!$A$2:$A$30=$C25)*1)),0)</f>
        <v>0.3</v>
      </c>
      <c r="E25" s="15" t="n">
        <f aca="false">$B25*$D25</f>
        <v>7020</v>
      </c>
      <c r="F25" s="15" t="n">
        <f aca="false">SUMIF(Gastos!$C$2:$C$40,$A25,Gastos!$G$2:$G$40)</f>
        <v>9800</v>
      </c>
      <c r="G25" s="15" t="n">
        <f aca="false">E25-F25</f>
        <v>-2780</v>
      </c>
    </row>
    <row r="26" customFormat="false" ht="15" hidden="false" customHeight="false" outlineLevel="0" collapsed="false">
      <c r="A26" s="14" t="s">
        <v>31</v>
      </c>
      <c r="B26" s="15" t="n">
        <f aca="false">SUMIF(Orçamento!$A$2:$A$22,$A26,Orçamento!$F$2:$F$22)</f>
        <v>27000</v>
      </c>
      <c r="C26" s="16" t="n">
        <f aca="false">IFERROR(IF(_xlfn.MAXIFS(Execução!$A$2:$A$30,Execução!$B$2:$B$30,$A26)=0,"",_xlfn.MAXIFS(Execução!$A$2:$A$30,Execução!$B$2:$B$30,$A26)),"")</f>
        <v>46106</v>
      </c>
      <c r="D26" s="17" t="n">
        <f aca="false">IFERROR(IF($C26="",0,SUMPRODUCT((Execução!$B$2:$B$30=$A26)*(Execução!$A$2:$A$30=$C26)*Execução!$C$2:$C$30)/SUMPRODUCT((Execução!$B$2:$B$30=$A26)*(Execução!$A$2:$A$30=$C26)*1)),0)</f>
        <v>0.15</v>
      </c>
      <c r="E26" s="15" t="n">
        <f aca="false">$B26*$D26</f>
        <v>4050</v>
      </c>
      <c r="F26" s="15" t="n">
        <f aca="false">SUMIF(Gastos!$C$2:$C$40,$A26,Gastos!$G$2:$G$40)</f>
        <v>3000</v>
      </c>
      <c r="G26" s="15" t="n">
        <f aca="false">E26-F26</f>
        <v>1050</v>
      </c>
    </row>
    <row r="27" customFormat="false" ht="15" hidden="false" customHeight="false" outlineLevel="0" collapsed="false">
      <c r="A27" s="14" t="s">
        <v>32</v>
      </c>
      <c r="B27" s="15" t="n">
        <f aca="false">SUMIF(Orçamento!$A$2:$A$22,$A27,Orçamento!$F$2:$F$22)</f>
        <v>23000</v>
      </c>
      <c r="C27" s="16" t="n">
        <f aca="false">IFERROR(IF(_xlfn.MAXIFS(Execução!$A$2:$A$30,Execução!$B$2:$B$30,$A27)=0,"",_xlfn.MAXIFS(Execução!$A$2:$A$30,Execução!$B$2:$B$30,$A27)),"")</f>
        <v>46106</v>
      </c>
      <c r="D27" s="17" t="n">
        <f aca="false">IFERROR(IF($C27="",0,SUMPRODUCT((Execução!$B$2:$B$30=$A27)*(Execução!$A$2:$A$30=$C27)*Execução!$C$2:$C$30)/SUMPRODUCT((Execução!$B$2:$B$30=$A27)*(Execução!$A$2:$A$30=$C27)*1)),0)</f>
        <v>0.1</v>
      </c>
      <c r="E27" s="15" t="n">
        <f aca="false">$B27*$D27</f>
        <v>2300</v>
      </c>
      <c r="F27" s="15" t="n">
        <f aca="false">SUMIF(Gastos!$C$2:$C$40,$A27,Gastos!$G$2:$G$40)</f>
        <v>2500</v>
      </c>
      <c r="G27" s="15" t="n">
        <f aca="false">E27-F27</f>
        <v>-200</v>
      </c>
    </row>
    <row r="28" customFormat="false" ht="15" hidden="false" customHeight="false" outlineLevel="0" collapsed="false">
      <c r="A28" s="14" t="s">
        <v>33</v>
      </c>
      <c r="B28" s="15" t="n">
        <f aca="false">SUMIF(Orçamento!$A$2:$A$22,$A28,Orçamento!$F$2:$F$22)</f>
        <v>37650</v>
      </c>
      <c r="C28" s="16" t="str">
        <f aca="false">IFERROR(IF(_xlfn.MAXIFS(Execução!$A$2:$A$30,Execução!$B$2:$B$30,$A28)=0,"",_xlfn.MAXIFS(Execução!$A$2:$A$30,Execução!$B$2:$B$30,$A28)),"")</f>
        <v/>
      </c>
      <c r="D28" s="17" t="n">
        <f aca="false">IFERROR(IF($C28="",0,SUMPRODUCT((Execução!$B$2:$B$30=$A28)*(Execução!$A$2:$A$30=$C28)*Execução!$C$2:$C$30)/SUMPRODUCT((Execução!$B$2:$B$30=$A28)*(Execução!$A$2:$A$30=$C28)*1)),0)</f>
        <v>0</v>
      </c>
      <c r="E28" s="15" t="n">
        <f aca="false">$B28*$D28</f>
        <v>0</v>
      </c>
      <c r="F28" s="15" t="n">
        <f aca="false">SUMIF(Gastos!$C$2:$C$40,$A28,Gastos!$G$2:$G$40)</f>
        <v>0</v>
      </c>
      <c r="G28" s="15" t="n">
        <f aca="false">E28-F28</f>
        <v>0</v>
      </c>
    </row>
    <row r="29" customFormat="false" ht="15" hidden="false" customHeight="false" outlineLevel="0" collapsed="false">
      <c r="A29" s="14" t="s">
        <v>34</v>
      </c>
      <c r="B29" s="15" t="n">
        <f aca="false">SUMIF(Orçamento!$A$2:$A$22,$A29,Orçamento!$F$2:$F$22)</f>
        <v>14400</v>
      </c>
      <c r="C29" s="16" t="str">
        <f aca="false">IFERROR(IF(_xlfn.MAXIFS(Execução!$A$2:$A$30,Execução!$B$2:$B$30,$A29)=0,"",_xlfn.MAXIFS(Execução!$A$2:$A$30,Execução!$B$2:$B$30,$A29)),"")</f>
        <v/>
      </c>
      <c r="D29" s="17" t="n">
        <f aca="false">IFERROR(IF($C29="",0,SUMPRODUCT((Execução!$B$2:$B$30=$A29)*(Execução!$A$2:$A$30=$C29)*Execução!$C$2:$C$30)/SUMPRODUCT((Execução!$B$2:$B$30=$A29)*(Execução!$A$2:$A$30=$C29)*1)),0)</f>
        <v>0</v>
      </c>
      <c r="E29" s="15" t="n">
        <f aca="false">$B29*$D29</f>
        <v>0</v>
      </c>
      <c r="F29" s="15" t="n">
        <f aca="false">SUMIF(Gastos!$C$2:$C$40,$A29,Gastos!$G$2:$G$40)</f>
        <v>0</v>
      </c>
      <c r="G29" s="15" t="n">
        <f aca="false">E29-F29</f>
        <v>0</v>
      </c>
    </row>
    <row r="30" customFormat="false" ht="15" hidden="false" customHeight="false" outlineLevel="0" collapsed="false">
      <c r="A30" s="14" t="s">
        <v>35</v>
      </c>
      <c r="B30" s="15" t="n">
        <f aca="false">SUMIF(Orçamento!$A$2:$A$22,$A30,Orçamento!$F$2:$F$22)</f>
        <v>3000</v>
      </c>
      <c r="C30" s="16" t="str">
        <f aca="false">IFERROR(IF(_xlfn.MAXIFS(Execução!$A$2:$A$30,Execução!$B$2:$B$30,$A30)=0,"",_xlfn.MAXIFS(Execução!$A$2:$A$30,Execução!$B$2:$B$30,$A30)),"")</f>
        <v/>
      </c>
      <c r="D30" s="17" t="n">
        <f aca="false">IFERROR(IF($C30="",0,SUMPRODUCT((Execução!$B$2:$B$30=$A30)*(Execução!$A$2:$A$30=$C30)*Execução!$C$2:$C$30)/SUMPRODUCT((Execução!$B$2:$B$30=$A30)*(Execução!$A$2:$A$30=$C30)*1)),0)</f>
        <v>0</v>
      </c>
      <c r="E30" s="15" t="n">
        <f aca="false">$B30*$D30</f>
        <v>0</v>
      </c>
      <c r="F30" s="15" t="n">
        <f aca="false">SUMIF(Gastos!$C$2:$C$40,$A30,Gastos!$G$2:$G$40)</f>
        <v>0</v>
      </c>
      <c r="G30" s="15" t="n">
        <f aca="false">E30-F30</f>
        <v>0</v>
      </c>
    </row>
    <row r="31" customFormat="false" ht="15" hidden="false" customHeight="false" outlineLevel="0" collapsed="false">
      <c r="A31" s="14" t="s">
        <v>36</v>
      </c>
      <c r="B31" s="15" t="n">
        <f aca="false">SUMIF(Orçamento!$A$2:$A$22,$A31,Orçamento!$F$2:$F$22)</f>
        <v>4000</v>
      </c>
      <c r="C31" s="16" t="str">
        <f aca="false">IFERROR(IF(_xlfn.MAXIFS(Execução!$A$2:$A$30,Execução!$B$2:$B$30,$A31)=0,"",_xlfn.MAXIFS(Execução!$A$2:$A$30,Execução!$B$2:$B$30,$A31)),"")</f>
        <v/>
      </c>
      <c r="D31" s="17" t="n">
        <f aca="false">IFERROR(IF($C31="",0,SUMPRODUCT((Execução!$B$2:$B$30=$A31)*(Execução!$A$2:$A$30=$C31)*Execução!$C$2:$C$30)/SUMPRODUCT((Execução!$B$2:$B$30=$A31)*(Execução!$A$2:$A$30=$C31)*1)),0)</f>
        <v>0</v>
      </c>
      <c r="E31" s="15" t="n">
        <f aca="false">$B31*$D31</f>
        <v>0</v>
      </c>
      <c r="F31" s="15" t="n">
        <f aca="false">SUMIF(Gastos!$C$2:$C$40,$A31,Gastos!$G$2:$G$40)</f>
        <v>3000</v>
      </c>
      <c r="G31" s="15" t="n">
        <f aca="false">E31-F31</f>
        <v>-3000</v>
      </c>
    </row>
    <row r="32" customFormat="false" ht="15" hidden="false" customHeight="false" outlineLevel="0" collapsed="false">
      <c r="A32" s="18" t="s">
        <v>37</v>
      </c>
      <c r="B32" s="19" t="n">
        <f aca="false">SUM(B22:B31)</f>
        <v>212900</v>
      </c>
      <c r="C32" s="18"/>
      <c r="D32" s="18"/>
      <c r="E32" s="19" t="n">
        <f aca="false">SUM(E22:E31)</f>
        <v>93820</v>
      </c>
      <c r="F32" s="19" t="n">
        <f aca="false">SUM(F22:F31)</f>
        <v>69200</v>
      </c>
      <c r="G32" s="19" t="n">
        <f aca="false">E32-F32</f>
        <v>24620</v>
      </c>
    </row>
    <row r="34" customFormat="false" ht="16.15" hidden="false" customHeight="false" outlineLevel="0" collapsed="false">
      <c r="A34" s="20" t="s">
        <v>38</v>
      </c>
      <c r="B34" s="20"/>
      <c r="C34" s="20"/>
      <c r="D34" s="20"/>
      <c r="E34" s="20"/>
      <c r="F34" s="20"/>
      <c r="G34" s="20"/>
    </row>
    <row r="35" customFormat="false" ht="15.75" hidden="false" customHeight="true" outlineLevel="0" collapsed="false">
      <c r="A35" s="21" t="s">
        <v>39</v>
      </c>
      <c r="B35" s="21"/>
      <c r="C35" s="21"/>
      <c r="D35" s="21"/>
      <c r="E35" s="21"/>
      <c r="F35" s="21"/>
      <c r="G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</row>
    <row r="37" customFormat="false" ht="15.75" hidden="false" customHeight="true" outlineLevel="0" collapsed="false">
      <c r="A37" s="21"/>
      <c r="B37" s="21"/>
      <c r="C37" s="21"/>
      <c r="D37" s="21"/>
      <c r="E37" s="21"/>
      <c r="F37" s="21"/>
      <c r="G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1"/>
    </row>
    <row r="39" customFormat="false" ht="15.75" hidden="false" customHeight="true" outlineLevel="0" collapsed="false">
      <c r="A39" s="21"/>
      <c r="B39" s="21"/>
      <c r="C39" s="21"/>
      <c r="D39" s="21"/>
      <c r="E39" s="21"/>
      <c r="F39" s="21"/>
      <c r="G39" s="21"/>
    </row>
  </sheetData>
  <mergeCells count="24">
    <mergeCell ref="A1:G1"/>
    <mergeCell ref="A3:G3"/>
    <mergeCell ref="C4:D4"/>
    <mergeCell ref="C5:G5"/>
    <mergeCell ref="A8:G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9:G19"/>
    <mergeCell ref="A34:G34"/>
    <mergeCell ref="A35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3" t="s">
        <v>20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21</v>
      </c>
      <c r="G1" s="13" t="s">
        <v>44</v>
      </c>
    </row>
    <row r="2" customFormat="false" ht="15" hidden="false" customHeight="false" outlineLevel="0" collapsed="false">
      <c r="A2" s="22" t="s">
        <v>27</v>
      </c>
      <c r="B2" s="22" t="s">
        <v>45</v>
      </c>
      <c r="C2" s="22" t="s">
        <v>46</v>
      </c>
      <c r="D2" s="22" t="n">
        <v>40</v>
      </c>
      <c r="E2" s="23" t="n">
        <v>80</v>
      </c>
      <c r="F2" s="15" t="n">
        <f aca="false">D2*E2</f>
        <v>3200</v>
      </c>
      <c r="G2" s="17" t="n">
        <f aca="false">IFERROR(F2/$F$23,0)</f>
        <v>0.0150305307656177</v>
      </c>
    </row>
    <row r="3" customFormat="false" ht="15" hidden="false" customHeight="false" outlineLevel="0" collapsed="false">
      <c r="A3" s="22" t="s">
        <v>27</v>
      </c>
      <c r="B3" s="22" t="s">
        <v>47</v>
      </c>
      <c r="C3" s="22" t="s">
        <v>46</v>
      </c>
      <c r="D3" s="22" t="n">
        <v>15</v>
      </c>
      <c r="E3" s="23" t="n">
        <v>650</v>
      </c>
      <c r="F3" s="15" t="n">
        <f aca="false">D3*E3</f>
        <v>9750</v>
      </c>
      <c r="G3" s="17" t="n">
        <f aca="false">IFERROR(F3/$F$23,0)</f>
        <v>0.0457961484264913</v>
      </c>
    </row>
    <row r="4" customFormat="false" ht="15" hidden="false" customHeight="false" outlineLevel="0" collapsed="false">
      <c r="A4" s="22" t="s">
        <v>27</v>
      </c>
      <c r="B4" s="22" t="s">
        <v>48</v>
      </c>
      <c r="C4" s="22" t="s">
        <v>49</v>
      </c>
      <c r="D4" s="22" t="n">
        <v>800</v>
      </c>
      <c r="E4" s="23" t="n">
        <v>9</v>
      </c>
      <c r="F4" s="15" t="n">
        <f aca="false">D4*E4</f>
        <v>7200</v>
      </c>
      <c r="G4" s="17" t="n">
        <f aca="false">IFERROR(F4/$F$23,0)</f>
        <v>0.0338186942226397</v>
      </c>
    </row>
    <row r="5" customFormat="false" ht="15" hidden="false" customHeight="false" outlineLevel="0" collapsed="false">
      <c r="A5" s="22" t="s">
        <v>28</v>
      </c>
      <c r="B5" s="22" t="s">
        <v>50</v>
      </c>
      <c r="C5" s="22" t="s">
        <v>46</v>
      </c>
      <c r="D5" s="22" t="n">
        <v>25</v>
      </c>
      <c r="E5" s="23" t="n">
        <v>700</v>
      </c>
      <c r="F5" s="15" t="n">
        <f aca="false">D5*E5</f>
        <v>17500</v>
      </c>
      <c r="G5" s="17" t="n">
        <f aca="false">IFERROR(F5/$F$23,0)</f>
        <v>0.0821982151244716</v>
      </c>
    </row>
    <row r="6" customFormat="false" ht="15" hidden="false" customHeight="false" outlineLevel="0" collapsed="false">
      <c r="A6" s="22" t="s">
        <v>28</v>
      </c>
      <c r="B6" s="22" t="s">
        <v>51</v>
      </c>
      <c r="C6" s="22" t="s">
        <v>49</v>
      </c>
      <c r="D6" s="22" t="n">
        <v>1500</v>
      </c>
      <c r="E6" s="23" t="n">
        <v>9</v>
      </c>
      <c r="F6" s="15" t="n">
        <f aca="false">D6*E6</f>
        <v>13500</v>
      </c>
      <c r="G6" s="17" t="n">
        <f aca="false">IFERROR(F6/$F$23,0)</f>
        <v>0.0634100516674495</v>
      </c>
    </row>
    <row r="7" customFormat="false" ht="15" hidden="false" customHeight="false" outlineLevel="0" collapsed="false">
      <c r="A7" s="22" t="s">
        <v>28</v>
      </c>
      <c r="B7" s="22" t="s">
        <v>52</v>
      </c>
      <c r="C7" s="22" t="s">
        <v>53</v>
      </c>
      <c r="D7" s="22" t="n">
        <v>200</v>
      </c>
      <c r="E7" s="23" t="n">
        <v>45</v>
      </c>
      <c r="F7" s="15" t="n">
        <f aca="false">D7*E7</f>
        <v>9000</v>
      </c>
      <c r="G7" s="17" t="n">
        <f aca="false">IFERROR(F7/$F$23,0)</f>
        <v>0.0422733677782997</v>
      </c>
    </row>
    <row r="8" customFormat="false" ht="15" hidden="false" customHeight="false" outlineLevel="0" collapsed="false">
      <c r="A8" s="22" t="s">
        <v>29</v>
      </c>
      <c r="B8" s="22" t="s">
        <v>54</v>
      </c>
      <c r="C8" s="22" t="s">
        <v>53</v>
      </c>
      <c r="D8" s="22" t="n">
        <v>300</v>
      </c>
      <c r="E8" s="23" t="n">
        <v>55</v>
      </c>
      <c r="F8" s="15" t="n">
        <f aca="false">D8*E8</f>
        <v>16500</v>
      </c>
      <c r="G8" s="17" t="n">
        <f aca="false">IFERROR(F8/$F$23,0)</f>
        <v>0.0775011742602161</v>
      </c>
    </row>
    <row r="9" customFormat="false" ht="15" hidden="false" customHeight="false" outlineLevel="0" collapsed="false">
      <c r="A9" s="22" t="s">
        <v>29</v>
      </c>
      <c r="B9" s="22" t="s">
        <v>55</v>
      </c>
      <c r="C9" s="22" t="s">
        <v>46</v>
      </c>
      <c r="D9" s="22" t="n">
        <v>10</v>
      </c>
      <c r="E9" s="23" t="n">
        <v>380</v>
      </c>
      <c r="F9" s="15" t="n">
        <f aca="false">D9*E9</f>
        <v>3800</v>
      </c>
      <c r="G9" s="17" t="n">
        <f aca="false">IFERROR(F9/$F$23,0)</f>
        <v>0.017848755284171</v>
      </c>
    </row>
    <row r="10" customFormat="false" ht="15" hidden="false" customHeight="false" outlineLevel="0" collapsed="false">
      <c r="A10" s="22" t="s">
        <v>30</v>
      </c>
      <c r="B10" s="22" t="s">
        <v>56</v>
      </c>
      <c r="C10" s="22" t="s">
        <v>53</v>
      </c>
      <c r="D10" s="22" t="n">
        <v>180</v>
      </c>
      <c r="E10" s="23" t="n">
        <v>90</v>
      </c>
      <c r="F10" s="15" t="n">
        <f aca="false">D10*E10</f>
        <v>16200</v>
      </c>
      <c r="G10" s="17" t="n">
        <f aca="false">IFERROR(F10/$F$23,0)</f>
        <v>0.0760920620009394</v>
      </c>
    </row>
    <row r="11" customFormat="false" ht="15" hidden="false" customHeight="false" outlineLevel="0" collapsed="false">
      <c r="A11" s="22" t="s">
        <v>30</v>
      </c>
      <c r="B11" s="22" t="s">
        <v>57</v>
      </c>
      <c r="C11" s="22" t="s">
        <v>53</v>
      </c>
      <c r="D11" s="22" t="n">
        <v>180</v>
      </c>
      <c r="E11" s="23" t="n">
        <v>40</v>
      </c>
      <c r="F11" s="15" t="n">
        <f aca="false">D11*E11</f>
        <v>7200</v>
      </c>
      <c r="G11" s="17" t="n">
        <f aca="false">IFERROR(F11/$F$23,0)</f>
        <v>0.0338186942226397</v>
      </c>
    </row>
    <row r="12" customFormat="false" ht="15" hidden="false" customHeight="false" outlineLevel="0" collapsed="false">
      <c r="A12" s="22" t="s">
        <v>31</v>
      </c>
      <c r="B12" s="22" t="s">
        <v>58</v>
      </c>
      <c r="C12" s="22" t="s">
        <v>59</v>
      </c>
      <c r="D12" s="22" t="n">
        <v>1</v>
      </c>
      <c r="E12" s="23" t="n">
        <v>18000</v>
      </c>
      <c r="F12" s="15" t="n">
        <f aca="false">D12*E12</f>
        <v>18000</v>
      </c>
      <c r="G12" s="17" t="n">
        <f aca="false">IFERROR(F12/$F$23,0)</f>
        <v>0.0845467355565994</v>
      </c>
    </row>
    <row r="13" customFormat="false" ht="15" hidden="false" customHeight="false" outlineLevel="0" collapsed="false">
      <c r="A13" s="22" t="s">
        <v>31</v>
      </c>
      <c r="B13" s="22" t="s">
        <v>60</v>
      </c>
      <c r="C13" s="22" t="s">
        <v>59</v>
      </c>
      <c r="D13" s="22" t="n">
        <v>1</v>
      </c>
      <c r="E13" s="23" t="n">
        <v>9000</v>
      </c>
      <c r="F13" s="15" t="n">
        <f aca="false">D13*E13</f>
        <v>9000</v>
      </c>
      <c r="G13" s="17" t="n">
        <f aca="false">IFERROR(F13/$F$23,0)</f>
        <v>0.0422733677782997</v>
      </c>
    </row>
    <row r="14" customFormat="false" ht="15" hidden="false" customHeight="false" outlineLevel="0" collapsed="false">
      <c r="A14" s="22" t="s">
        <v>32</v>
      </c>
      <c r="B14" s="22" t="s">
        <v>61</v>
      </c>
      <c r="C14" s="22" t="s">
        <v>59</v>
      </c>
      <c r="D14" s="22" t="n">
        <v>1</v>
      </c>
      <c r="E14" s="23" t="n">
        <v>15000</v>
      </c>
      <c r="F14" s="15" t="n">
        <f aca="false">D14*E14</f>
        <v>15000</v>
      </c>
      <c r="G14" s="17" t="n">
        <f aca="false">IFERROR(F14/$F$23,0)</f>
        <v>0.0704556129638328</v>
      </c>
    </row>
    <row r="15" customFormat="false" ht="15" hidden="false" customHeight="false" outlineLevel="0" collapsed="false">
      <c r="A15" s="22" t="s">
        <v>32</v>
      </c>
      <c r="B15" s="22" t="s">
        <v>62</v>
      </c>
      <c r="C15" s="22" t="s">
        <v>59</v>
      </c>
      <c r="D15" s="22" t="n">
        <v>1</v>
      </c>
      <c r="E15" s="23" t="n">
        <v>8000</v>
      </c>
      <c r="F15" s="15" t="n">
        <f aca="false">D15*E15</f>
        <v>8000</v>
      </c>
      <c r="G15" s="17" t="n">
        <f aca="false">IFERROR(F15/$F$23,0)</f>
        <v>0.0375763269140442</v>
      </c>
    </row>
    <row r="16" customFormat="false" ht="15" hidden="false" customHeight="false" outlineLevel="0" collapsed="false">
      <c r="A16" s="22" t="s">
        <v>33</v>
      </c>
      <c r="B16" s="22" t="s">
        <v>63</v>
      </c>
      <c r="C16" s="22" t="s">
        <v>53</v>
      </c>
      <c r="D16" s="22" t="n">
        <v>450</v>
      </c>
      <c r="E16" s="23" t="n">
        <v>35</v>
      </c>
      <c r="F16" s="15" t="n">
        <f aca="false">D16*E16</f>
        <v>15750</v>
      </c>
      <c r="G16" s="17" t="n">
        <f aca="false">IFERROR(F16/$F$23,0)</f>
        <v>0.0739783936120244</v>
      </c>
    </row>
    <row r="17" customFormat="false" ht="15" hidden="false" customHeight="false" outlineLevel="0" collapsed="false">
      <c r="A17" s="22" t="s">
        <v>33</v>
      </c>
      <c r="B17" s="22" t="s">
        <v>64</v>
      </c>
      <c r="C17" s="22" t="s">
        <v>53</v>
      </c>
      <c r="D17" s="22" t="n">
        <v>200</v>
      </c>
      <c r="E17" s="23" t="n">
        <v>60</v>
      </c>
      <c r="F17" s="15" t="n">
        <f aca="false">D17*E17</f>
        <v>12000</v>
      </c>
      <c r="G17" s="17" t="n">
        <f aca="false">IFERROR(F17/$F$23,0)</f>
        <v>0.0563644903710662</v>
      </c>
    </row>
    <row r="18" customFormat="false" ht="15" hidden="false" customHeight="false" outlineLevel="0" collapsed="false">
      <c r="A18" s="22" t="s">
        <v>33</v>
      </c>
      <c r="B18" s="22" t="s">
        <v>65</v>
      </c>
      <c r="C18" s="22" t="s">
        <v>53</v>
      </c>
      <c r="D18" s="22" t="n">
        <v>450</v>
      </c>
      <c r="E18" s="23" t="n">
        <v>22</v>
      </c>
      <c r="F18" s="15" t="n">
        <f aca="false">D18*E18</f>
        <v>9900</v>
      </c>
      <c r="G18" s="17" t="n">
        <f aca="false">IFERROR(F18/$F$23,0)</f>
        <v>0.0465007045561296</v>
      </c>
    </row>
    <row r="19" customFormat="false" ht="15" hidden="false" customHeight="false" outlineLevel="0" collapsed="false">
      <c r="A19" s="22" t="s">
        <v>34</v>
      </c>
      <c r="B19" s="22" t="s">
        <v>66</v>
      </c>
      <c r="C19" s="22" t="s">
        <v>67</v>
      </c>
      <c r="D19" s="22" t="n">
        <v>12</v>
      </c>
      <c r="E19" s="23" t="n">
        <v>450</v>
      </c>
      <c r="F19" s="15" t="n">
        <f aca="false">D19*E19</f>
        <v>5400</v>
      </c>
      <c r="G19" s="17" t="n">
        <f aca="false">IFERROR(F19/$F$23,0)</f>
        <v>0.0253640206669798</v>
      </c>
    </row>
    <row r="20" customFormat="false" ht="15" hidden="false" customHeight="false" outlineLevel="0" collapsed="false">
      <c r="A20" s="22" t="s">
        <v>34</v>
      </c>
      <c r="B20" s="22" t="s">
        <v>68</v>
      </c>
      <c r="C20" s="22" t="s">
        <v>67</v>
      </c>
      <c r="D20" s="22" t="n">
        <v>15</v>
      </c>
      <c r="E20" s="23" t="n">
        <v>600</v>
      </c>
      <c r="F20" s="15" t="n">
        <f aca="false">D20*E20</f>
        <v>9000</v>
      </c>
      <c r="G20" s="17" t="n">
        <f aca="false">IFERROR(F20/$F$23,0)</f>
        <v>0.0422733677782997</v>
      </c>
    </row>
    <row r="21" customFormat="false" ht="15" hidden="false" customHeight="false" outlineLevel="0" collapsed="false">
      <c r="A21" s="22" t="s">
        <v>35</v>
      </c>
      <c r="B21" s="22" t="s">
        <v>69</v>
      </c>
      <c r="C21" s="22" t="s">
        <v>59</v>
      </c>
      <c r="D21" s="22" t="n">
        <v>1</v>
      </c>
      <c r="E21" s="23" t="n">
        <v>3000</v>
      </c>
      <c r="F21" s="15" t="n">
        <f aca="false">D21*E21</f>
        <v>3000</v>
      </c>
      <c r="G21" s="17" t="n">
        <f aca="false">IFERROR(F21/$F$23,0)</f>
        <v>0.0140911225927666</v>
      </c>
    </row>
    <row r="22" customFormat="false" ht="15" hidden="false" customHeight="false" outlineLevel="0" collapsed="false">
      <c r="A22" s="22" t="s">
        <v>36</v>
      </c>
      <c r="B22" s="22" t="s">
        <v>70</v>
      </c>
      <c r="C22" s="22" t="s">
        <v>59</v>
      </c>
      <c r="D22" s="22" t="n">
        <v>1</v>
      </c>
      <c r="E22" s="23" t="n">
        <v>4000</v>
      </c>
      <c r="F22" s="15" t="n">
        <f aca="false">D22*E22</f>
        <v>4000</v>
      </c>
      <c r="G22" s="17" t="n">
        <f aca="false">IFERROR(F22/$F$23,0)</f>
        <v>0.0187881634570221</v>
      </c>
    </row>
    <row r="23" customFormat="false" ht="15" hidden="false" customHeight="false" outlineLevel="0" collapsed="false">
      <c r="A23" s="18" t="s">
        <v>37</v>
      </c>
      <c r="B23" s="18"/>
      <c r="C23" s="18"/>
      <c r="D23" s="18"/>
      <c r="E23" s="18"/>
      <c r="F23" s="19" t="n">
        <f aca="false">SUM(F2:F22)</f>
        <v>212900</v>
      </c>
      <c r="G23" s="24" t="n">
        <f aca="false">SUM(G2:G22)</f>
        <v>1</v>
      </c>
    </row>
  </sheetData>
  <dataValidations count="1">
    <dataValidation allowBlank="true" errorStyle="stop" operator="between" showDropDown="false" showErrorMessage="false" showInputMessage="false" sqref="A2:A22" type="list">
      <formula1>'Listas de Apoio'!$A$2:$A$11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3" t="s">
        <v>71</v>
      </c>
      <c r="B1" s="13" t="s">
        <v>20</v>
      </c>
      <c r="C1" s="13" t="s">
        <v>72</v>
      </c>
      <c r="D1" s="13" t="s">
        <v>73</v>
      </c>
      <c r="E1" s="13" t="s">
        <v>24</v>
      </c>
      <c r="F1" s="13" t="s">
        <v>74</v>
      </c>
    </row>
    <row r="2" customFormat="false" ht="15" hidden="false" customHeight="false" outlineLevel="0" collapsed="false">
      <c r="A2" s="25" t="n">
        <v>46042</v>
      </c>
      <c r="B2" s="22" t="s">
        <v>27</v>
      </c>
      <c r="C2" s="26" t="n">
        <v>1</v>
      </c>
      <c r="D2" s="15" t="n">
        <f aca="false">IF($B2="","",SUMIF(Orçamento!$A$2:$A$22,$B2,Orçamento!$F$2:$F$22))</f>
        <v>20150</v>
      </c>
      <c r="E2" s="15" t="n">
        <f aca="false">IF($B2="","",$C2*$D2)</f>
        <v>20150</v>
      </c>
      <c r="F2" s="22" t="s">
        <v>75</v>
      </c>
    </row>
    <row r="3" customFormat="false" ht="15" hidden="false" customHeight="false" outlineLevel="0" collapsed="false">
      <c r="A3" s="25" t="n">
        <v>46058</v>
      </c>
      <c r="B3" s="22" t="s">
        <v>28</v>
      </c>
      <c r="C3" s="26" t="n">
        <v>0.5</v>
      </c>
      <c r="D3" s="15" t="n">
        <f aca="false">IF($B3="","",SUMIF(Orçamento!$A$2:$A$22,$B3,Orçamento!$F$2:$F$22))</f>
        <v>40000</v>
      </c>
      <c r="E3" s="15" t="n">
        <f aca="false">IF($B3="","",$C3*$D3)</f>
        <v>20000</v>
      </c>
      <c r="F3" s="22" t="s">
        <v>76</v>
      </c>
    </row>
    <row r="4" customFormat="false" ht="15" hidden="false" customHeight="false" outlineLevel="0" collapsed="false">
      <c r="A4" s="25" t="n">
        <v>46078</v>
      </c>
      <c r="B4" s="22" t="s">
        <v>28</v>
      </c>
      <c r="C4" s="26" t="n">
        <v>1</v>
      </c>
      <c r="D4" s="15" t="n">
        <f aca="false">IF($B4="","",SUMIF(Orçamento!$A$2:$A$22,$B4,Orçamento!$F$2:$F$22))</f>
        <v>40000</v>
      </c>
      <c r="E4" s="15" t="n">
        <f aca="false">IF($B4="","",$C4*$D4)</f>
        <v>40000</v>
      </c>
      <c r="F4" s="22" t="s">
        <v>77</v>
      </c>
    </row>
    <row r="5" customFormat="false" ht="15" hidden="false" customHeight="false" outlineLevel="0" collapsed="false">
      <c r="A5" s="25" t="n">
        <v>46086</v>
      </c>
      <c r="B5" s="22" t="s">
        <v>29</v>
      </c>
      <c r="C5" s="26" t="n">
        <v>0.6</v>
      </c>
      <c r="D5" s="15" t="n">
        <f aca="false">IF($B5="","",SUMIF(Orçamento!$A$2:$A$22,$B5,Orçamento!$F$2:$F$22))</f>
        <v>20300</v>
      </c>
      <c r="E5" s="15" t="n">
        <f aca="false">IF($B5="","",$C5*$D5)</f>
        <v>12180</v>
      </c>
      <c r="F5" s="22"/>
    </row>
    <row r="6" customFormat="false" ht="15" hidden="false" customHeight="false" outlineLevel="0" collapsed="false">
      <c r="A6" s="25" t="n">
        <v>46099</v>
      </c>
      <c r="B6" s="22" t="s">
        <v>29</v>
      </c>
      <c r="C6" s="26" t="n">
        <v>1</v>
      </c>
      <c r="D6" s="15" t="n">
        <f aca="false">IF($B6="","",SUMIF(Orçamento!$A$2:$A$22,$B6,Orçamento!$F$2:$F$22))</f>
        <v>20300</v>
      </c>
      <c r="E6" s="15" t="n">
        <f aca="false">IF($B6="","",$C6*$D6)</f>
        <v>20300</v>
      </c>
      <c r="F6" s="22" t="s">
        <v>78</v>
      </c>
    </row>
    <row r="7" customFormat="false" ht="15" hidden="false" customHeight="false" outlineLevel="0" collapsed="false">
      <c r="A7" s="25" t="n">
        <v>46101</v>
      </c>
      <c r="B7" s="22" t="s">
        <v>30</v>
      </c>
      <c r="C7" s="26" t="n">
        <v>0.3</v>
      </c>
      <c r="D7" s="15" t="n">
        <f aca="false">IF($B7="","",SUMIF(Orçamento!$A$2:$A$22,$B7,Orçamento!$F$2:$F$22))</f>
        <v>23400</v>
      </c>
      <c r="E7" s="15" t="n">
        <f aca="false">IF($B7="","",$C7*$D7)</f>
        <v>7020</v>
      </c>
      <c r="F7" s="22"/>
    </row>
    <row r="8" customFormat="false" ht="15" hidden="false" customHeight="false" outlineLevel="0" collapsed="false">
      <c r="A8" s="25" t="n">
        <v>46106</v>
      </c>
      <c r="B8" s="22" t="s">
        <v>31</v>
      </c>
      <c r="C8" s="26" t="n">
        <v>0.15</v>
      </c>
      <c r="D8" s="15" t="n">
        <f aca="false">IF($B8="","",SUMIF(Orçamento!$A$2:$A$22,$B8,Orçamento!$F$2:$F$22))</f>
        <v>27000</v>
      </c>
      <c r="E8" s="15" t="n">
        <f aca="false">IF($B8="","",$C8*$D8)</f>
        <v>4050</v>
      </c>
      <c r="F8" s="22"/>
    </row>
    <row r="9" customFormat="false" ht="15" hidden="false" customHeight="false" outlineLevel="0" collapsed="false">
      <c r="A9" s="25" t="n">
        <v>46106</v>
      </c>
      <c r="B9" s="22" t="s">
        <v>32</v>
      </c>
      <c r="C9" s="26" t="n">
        <v>0.1</v>
      </c>
      <c r="D9" s="15" t="n">
        <f aca="false">IF($B9="","",SUMIF(Orçamento!$A$2:$A$22,$B9,Orçamento!$F$2:$F$22))</f>
        <v>23000</v>
      </c>
      <c r="E9" s="15" t="n">
        <f aca="false">IF($B9="","",$C9*$D9)</f>
        <v>2300</v>
      </c>
      <c r="F9" s="22"/>
    </row>
    <row r="10" customFormat="false" ht="15" hidden="false" customHeight="false" outlineLevel="0" collapsed="false">
      <c r="A10" s="27"/>
      <c r="B10" s="28"/>
      <c r="C10" s="29"/>
      <c r="D10" s="15" t="str">
        <f aca="false">IF($B10="","",SUMIF(Orçamento!$A$2:$A$22,$B10,Orçamento!$F$2:$F$22))</f>
        <v/>
      </c>
      <c r="E10" s="15" t="str">
        <f aca="false">IF($B10="","",$C10*$D10)</f>
        <v/>
      </c>
      <c r="F10" s="28"/>
    </row>
    <row r="11" customFormat="false" ht="15" hidden="false" customHeight="false" outlineLevel="0" collapsed="false">
      <c r="A11" s="27"/>
      <c r="B11" s="28"/>
      <c r="C11" s="29"/>
      <c r="D11" s="15" t="str">
        <f aca="false">IF($B11="","",SUMIF(Orçamento!$A$2:$A$22,$B11,Orçamento!$F$2:$F$22))</f>
        <v/>
      </c>
      <c r="E11" s="15" t="str">
        <f aca="false">IF($B11="","",$C11*$D11)</f>
        <v/>
      </c>
      <c r="F11" s="28"/>
    </row>
    <row r="12" customFormat="false" ht="15" hidden="false" customHeight="false" outlineLevel="0" collapsed="false">
      <c r="A12" s="27"/>
      <c r="B12" s="28"/>
      <c r="C12" s="29"/>
      <c r="D12" s="15" t="str">
        <f aca="false">IF($B12="","",SUMIF(Orçamento!$A$2:$A$22,$B12,Orçamento!$F$2:$F$22))</f>
        <v/>
      </c>
      <c r="E12" s="15" t="str">
        <f aca="false">IF($B12="","",$C12*$D12)</f>
        <v/>
      </c>
      <c r="F12" s="28"/>
    </row>
    <row r="13" customFormat="false" ht="15" hidden="false" customHeight="false" outlineLevel="0" collapsed="false">
      <c r="A13" s="27"/>
      <c r="B13" s="28"/>
      <c r="C13" s="29"/>
      <c r="D13" s="15" t="str">
        <f aca="false">IF($B13="","",SUMIF(Orçamento!$A$2:$A$22,$B13,Orçamento!$F$2:$F$22))</f>
        <v/>
      </c>
      <c r="E13" s="15" t="str">
        <f aca="false">IF($B13="","",$C13*$D13)</f>
        <v/>
      </c>
      <c r="F13" s="28"/>
    </row>
    <row r="14" customFormat="false" ht="15" hidden="false" customHeight="false" outlineLevel="0" collapsed="false">
      <c r="A14" s="27"/>
      <c r="B14" s="28"/>
      <c r="C14" s="29"/>
      <c r="D14" s="15" t="str">
        <f aca="false">IF($B14="","",SUMIF(Orçamento!$A$2:$A$22,$B14,Orçamento!$F$2:$F$22))</f>
        <v/>
      </c>
      <c r="E14" s="15" t="str">
        <f aca="false">IF($B14="","",$C14*$D14)</f>
        <v/>
      </c>
      <c r="F14" s="28"/>
    </row>
    <row r="15" customFormat="false" ht="15" hidden="false" customHeight="false" outlineLevel="0" collapsed="false">
      <c r="A15" s="27"/>
      <c r="B15" s="28"/>
      <c r="C15" s="29"/>
      <c r="D15" s="15" t="str">
        <f aca="false">IF($B15="","",SUMIF(Orçamento!$A$2:$A$22,$B15,Orçamento!$F$2:$F$22))</f>
        <v/>
      </c>
      <c r="E15" s="15" t="str">
        <f aca="false">IF($B15="","",$C15*$D15)</f>
        <v/>
      </c>
      <c r="F15" s="28"/>
    </row>
    <row r="16" customFormat="false" ht="15" hidden="false" customHeight="false" outlineLevel="0" collapsed="false">
      <c r="A16" s="27"/>
      <c r="B16" s="28"/>
      <c r="C16" s="29"/>
      <c r="D16" s="15" t="str">
        <f aca="false">IF($B16="","",SUMIF(Orçamento!$A$2:$A$22,$B16,Orçamento!$F$2:$F$22))</f>
        <v/>
      </c>
      <c r="E16" s="15" t="str">
        <f aca="false">IF($B16="","",$C16*$D16)</f>
        <v/>
      </c>
      <c r="F16" s="28"/>
    </row>
    <row r="17" customFormat="false" ht="15" hidden="false" customHeight="false" outlineLevel="0" collapsed="false">
      <c r="A17" s="27"/>
      <c r="B17" s="28"/>
      <c r="C17" s="29"/>
      <c r="D17" s="15" t="str">
        <f aca="false">IF($B17="","",SUMIF(Orçamento!$A$2:$A$22,$B17,Orçamento!$F$2:$F$22))</f>
        <v/>
      </c>
      <c r="E17" s="15" t="str">
        <f aca="false">IF($B17="","",$C17*$D17)</f>
        <v/>
      </c>
      <c r="F17" s="28"/>
    </row>
    <row r="18" customFormat="false" ht="15" hidden="false" customHeight="false" outlineLevel="0" collapsed="false">
      <c r="A18" s="27"/>
      <c r="B18" s="28"/>
      <c r="C18" s="29"/>
      <c r="D18" s="15" t="str">
        <f aca="false">IF($B18="","",SUMIF(Orçamento!$A$2:$A$22,$B18,Orçamento!$F$2:$F$22))</f>
        <v/>
      </c>
      <c r="E18" s="15" t="str">
        <f aca="false">IF($B18="","",$C18*$D18)</f>
        <v/>
      </c>
      <c r="F18" s="28"/>
    </row>
    <row r="19" customFormat="false" ht="15" hidden="false" customHeight="false" outlineLevel="0" collapsed="false">
      <c r="A19" s="27"/>
      <c r="B19" s="28"/>
      <c r="C19" s="29"/>
      <c r="D19" s="15" t="str">
        <f aca="false">IF($B19="","",SUMIF(Orçamento!$A$2:$A$22,$B19,Orçamento!$F$2:$F$22))</f>
        <v/>
      </c>
      <c r="E19" s="15" t="str">
        <f aca="false">IF($B19="","",$C19*$D19)</f>
        <v/>
      </c>
      <c r="F19" s="28"/>
    </row>
    <row r="20" customFormat="false" ht="15" hidden="false" customHeight="false" outlineLevel="0" collapsed="false">
      <c r="A20" s="27"/>
      <c r="B20" s="28"/>
      <c r="C20" s="29"/>
      <c r="D20" s="15" t="str">
        <f aca="false">IF($B20="","",SUMIF(Orçamento!$A$2:$A$22,$B20,Orçamento!$F$2:$F$22))</f>
        <v/>
      </c>
      <c r="E20" s="15" t="str">
        <f aca="false">IF($B20="","",$C20*$D20)</f>
        <v/>
      </c>
      <c r="F20" s="28"/>
    </row>
    <row r="21" customFormat="false" ht="15" hidden="false" customHeight="false" outlineLevel="0" collapsed="false">
      <c r="A21" s="27"/>
      <c r="B21" s="28"/>
      <c r="C21" s="29"/>
      <c r="D21" s="15" t="str">
        <f aca="false">IF($B21="","",SUMIF(Orçamento!$A$2:$A$22,$B21,Orçamento!$F$2:$F$22))</f>
        <v/>
      </c>
      <c r="E21" s="15" t="str">
        <f aca="false">IF($B21="","",$C21*$D21)</f>
        <v/>
      </c>
      <c r="F21" s="28"/>
    </row>
    <row r="22" customFormat="false" ht="15" hidden="false" customHeight="false" outlineLevel="0" collapsed="false">
      <c r="A22" s="27"/>
      <c r="B22" s="28"/>
      <c r="C22" s="29"/>
      <c r="D22" s="15" t="str">
        <f aca="false">IF($B22="","",SUMIF(Orçamento!$A$2:$A$22,$B22,Orçamento!$F$2:$F$22))</f>
        <v/>
      </c>
      <c r="E22" s="15" t="str">
        <f aca="false">IF($B22="","",$C22*$D22)</f>
        <v/>
      </c>
      <c r="F22" s="28"/>
    </row>
    <row r="23" customFormat="false" ht="15" hidden="false" customHeight="false" outlineLevel="0" collapsed="false">
      <c r="A23" s="27"/>
      <c r="B23" s="28"/>
      <c r="C23" s="29"/>
      <c r="D23" s="15" t="str">
        <f aca="false">IF($B23="","",SUMIF(Orçamento!$A$2:$A$22,$B23,Orçamento!$F$2:$F$22))</f>
        <v/>
      </c>
      <c r="E23" s="15" t="str">
        <f aca="false">IF($B23="","",$C23*$D23)</f>
        <v/>
      </c>
      <c r="F23" s="28"/>
    </row>
    <row r="24" customFormat="false" ht="15" hidden="false" customHeight="false" outlineLevel="0" collapsed="false">
      <c r="A24" s="27"/>
      <c r="B24" s="28"/>
      <c r="C24" s="29"/>
      <c r="D24" s="15" t="str">
        <f aca="false">IF($B24="","",SUMIF(Orçamento!$A$2:$A$22,$B24,Orçamento!$F$2:$F$22))</f>
        <v/>
      </c>
      <c r="E24" s="15" t="str">
        <f aca="false">IF($B24="","",$C24*$D24)</f>
        <v/>
      </c>
      <c r="F24" s="28"/>
    </row>
    <row r="25" customFormat="false" ht="15" hidden="false" customHeight="false" outlineLevel="0" collapsed="false">
      <c r="A25" s="27"/>
      <c r="B25" s="28"/>
      <c r="C25" s="29"/>
      <c r="D25" s="15" t="str">
        <f aca="false">IF($B25="","",SUMIF(Orçamento!$A$2:$A$22,$B25,Orçamento!$F$2:$F$22))</f>
        <v/>
      </c>
      <c r="E25" s="15" t="str">
        <f aca="false">IF($B25="","",$C25*$D25)</f>
        <v/>
      </c>
      <c r="F25" s="28"/>
    </row>
    <row r="26" customFormat="false" ht="15" hidden="false" customHeight="false" outlineLevel="0" collapsed="false">
      <c r="A26" s="27"/>
      <c r="B26" s="28"/>
      <c r="C26" s="29"/>
      <c r="D26" s="15" t="str">
        <f aca="false">IF($B26="","",SUMIF(Orçamento!$A$2:$A$22,$B26,Orçamento!$F$2:$F$22))</f>
        <v/>
      </c>
      <c r="E26" s="15" t="str">
        <f aca="false">IF($B26="","",$C26*$D26)</f>
        <v/>
      </c>
      <c r="F26" s="28"/>
    </row>
    <row r="27" customFormat="false" ht="15" hidden="false" customHeight="false" outlineLevel="0" collapsed="false">
      <c r="A27" s="27"/>
      <c r="B27" s="28"/>
      <c r="C27" s="29"/>
      <c r="D27" s="15" t="str">
        <f aca="false">IF($B27="","",SUMIF(Orçamento!$A$2:$A$22,$B27,Orçamento!$F$2:$F$22))</f>
        <v/>
      </c>
      <c r="E27" s="15" t="str">
        <f aca="false">IF($B27="","",$C27*$D27)</f>
        <v/>
      </c>
      <c r="F27" s="28"/>
    </row>
    <row r="28" customFormat="false" ht="15" hidden="false" customHeight="false" outlineLevel="0" collapsed="false">
      <c r="A28" s="27"/>
      <c r="B28" s="28"/>
      <c r="C28" s="29"/>
      <c r="D28" s="15" t="str">
        <f aca="false">IF($B28="","",SUMIF(Orçamento!$A$2:$A$22,$B28,Orçamento!$F$2:$F$22))</f>
        <v/>
      </c>
      <c r="E28" s="15" t="str">
        <f aca="false">IF($B28="","",$C28*$D28)</f>
        <v/>
      </c>
      <c r="F28" s="28"/>
    </row>
    <row r="29" customFormat="false" ht="15" hidden="false" customHeight="false" outlineLevel="0" collapsed="false">
      <c r="A29" s="27"/>
      <c r="B29" s="28"/>
      <c r="C29" s="29"/>
      <c r="D29" s="15" t="str">
        <f aca="false">IF($B29="","",SUMIF(Orçamento!$A$2:$A$22,$B29,Orçamento!$F$2:$F$22))</f>
        <v/>
      </c>
      <c r="E29" s="15" t="str">
        <f aca="false">IF($B29="","",$C29*$D29)</f>
        <v/>
      </c>
      <c r="F29" s="28"/>
    </row>
    <row r="30" customFormat="false" ht="15" hidden="false" customHeight="false" outlineLevel="0" collapsed="false">
      <c r="A30" s="27"/>
      <c r="B30" s="28"/>
      <c r="C30" s="29"/>
      <c r="D30" s="15" t="str">
        <f aca="false">IF($B30="","",SUMIF(Orçamento!$A$2:$A$22,$B30,Orçamento!$F$2:$F$22))</f>
        <v/>
      </c>
      <c r="E30" s="15" t="str">
        <f aca="false">IF($B30="","",$C30*$D30)</f>
        <v/>
      </c>
      <c r="F30" s="28"/>
    </row>
    <row r="32" customFormat="false" ht="15" hidden="false" customHeight="true" outlineLevel="0" collapsed="false">
      <c r="A32" s="30" t="s">
        <v>79</v>
      </c>
      <c r="B32" s="30"/>
      <c r="C32" s="30"/>
      <c r="D32" s="30"/>
      <c r="E32" s="30"/>
      <c r="F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</row>
  </sheetData>
  <mergeCells count="1">
    <mergeCell ref="A32:F34"/>
  </mergeCells>
  <dataValidations count="2">
    <dataValidation allowBlank="true" errorStyle="stop" operator="between" showDropDown="false" showErrorMessage="false" showInputMessage="false" sqref="B2:B30" type="list">
      <formula1>'Listas de Apoio'!$A$2:$A$11</formula1>
      <formula2>0</formula2>
    </dataValidation>
    <dataValidation allowBlank="true" error="Informe um percentual entre 0% e 100% (ex.: 0,45 para 45%)." errorStyle="stop" errorTitle="Percentual inválido" operator="between" showDropDown="false" showErrorMessage="false" showInputMessage="false" sqref="C2:C3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3" t="s">
        <v>71</v>
      </c>
      <c r="B1" s="13" t="s">
        <v>80</v>
      </c>
      <c r="C1" s="13" t="s">
        <v>20</v>
      </c>
      <c r="D1" s="13" t="s">
        <v>81</v>
      </c>
      <c r="E1" s="13" t="s">
        <v>82</v>
      </c>
      <c r="F1" s="13" t="s">
        <v>83</v>
      </c>
      <c r="G1" s="13" t="s">
        <v>84</v>
      </c>
    </row>
    <row r="2" customFormat="false" ht="15" hidden="false" customHeight="false" outlineLevel="0" collapsed="false">
      <c r="A2" s="25" t="n">
        <v>46027</v>
      </c>
      <c r="B2" s="22" t="s">
        <v>85</v>
      </c>
      <c r="C2" s="22" t="s">
        <v>36</v>
      </c>
      <c r="D2" s="22" t="s">
        <v>86</v>
      </c>
      <c r="E2" s="22" t="s">
        <v>87</v>
      </c>
      <c r="F2" s="22" t="s">
        <v>88</v>
      </c>
      <c r="G2" s="23" t="n">
        <v>1800</v>
      </c>
    </row>
    <row r="3" customFormat="false" ht="15" hidden="false" customHeight="false" outlineLevel="0" collapsed="false">
      <c r="A3" s="25" t="n">
        <v>46032</v>
      </c>
      <c r="B3" s="22" t="s">
        <v>89</v>
      </c>
      <c r="C3" s="22" t="s">
        <v>27</v>
      </c>
      <c r="D3" s="22" t="s">
        <v>90</v>
      </c>
      <c r="E3" s="22" t="s">
        <v>91</v>
      </c>
      <c r="F3" s="22" t="s">
        <v>92</v>
      </c>
      <c r="G3" s="23" t="n">
        <v>4200</v>
      </c>
    </row>
    <row r="4" customFormat="false" ht="15" hidden="false" customHeight="false" outlineLevel="0" collapsed="false">
      <c r="A4" s="25" t="n">
        <v>46040</v>
      </c>
      <c r="B4" s="22" t="s">
        <v>93</v>
      </c>
      <c r="C4" s="22" t="s">
        <v>27</v>
      </c>
      <c r="D4" s="22" t="s">
        <v>94</v>
      </c>
      <c r="E4" s="22" t="s">
        <v>95</v>
      </c>
      <c r="F4" s="22" t="s">
        <v>96</v>
      </c>
      <c r="G4" s="23" t="n">
        <v>6000</v>
      </c>
    </row>
    <row r="5" customFormat="false" ht="15" hidden="false" customHeight="false" outlineLevel="0" collapsed="false">
      <c r="A5" s="25" t="n">
        <v>46047</v>
      </c>
      <c r="B5" s="22" t="s">
        <v>89</v>
      </c>
      <c r="C5" s="22" t="s">
        <v>27</v>
      </c>
      <c r="D5" s="22" t="s">
        <v>97</v>
      </c>
      <c r="E5" s="22" t="s">
        <v>98</v>
      </c>
      <c r="F5" s="22" t="s">
        <v>88</v>
      </c>
      <c r="G5" s="23" t="n">
        <v>5800</v>
      </c>
    </row>
    <row r="6" customFormat="false" ht="15" hidden="false" customHeight="false" outlineLevel="0" collapsed="false">
      <c r="A6" s="25" t="n">
        <v>46055</v>
      </c>
      <c r="B6" s="22" t="s">
        <v>89</v>
      </c>
      <c r="C6" s="22" t="s">
        <v>28</v>
      </c>
      <c r="D6" s="22" t="s">
        <v>99</v>
      </c>
      <c r="E6" s="22" t="s">
        <v>100</v>
      </c>
      <c r="F6" s="22" t="s">
        <v>92</v>
      </c>
      <c r="G6" s="23" t="n">
        <v>12500</v>
      </c>
    </row>
    <row r="7" customFormat="false" ht="15" hidden="false" customHeight="false" outlineLevel="0" collapsed="false">
      <c r="A7" s="25" t="n">
        <v>46061</v>
      </c>
      <c r="B7" s="22" t="s">
        <v>93</v>
      </c>
      <c r="C7" s="22" t="s">
        <v>28</v>
      </c>
      <c r="D7" s="22" t="s">
        <v>101</v>
      </c>
      <c r="E7" s="22" t="s">
        <v>95</v>
      </c>
      <c r="F7" s="22" t="s">
        <v>96</v>
      </c>
      <c r="G7" s="23" t="n">
        <v>7200</v>
      </c>
    </row>
    <row r="8" customFormat="false" ht="15" hidden="false" customHeight="false" outlineLevel="0" collapsed="false">
      <c r="A8" s="25" t="n">
        <v>46068</v>
      </c>
      <c r="B8" s="22" t="s">
        <v>102</v>
      </c>
      <c r="C8" s="22" t="s">
        <v>36</v>
      </c>
      <c r="D8" s="22" t="s">
        <v>103</v>
      </c>
      <c r="E8" s="22" t="s">
        <v>104</v>
      </c>
      <c r="F8" s="22" t="s">
        <v>96</v>
      </c>
      <c r="G8" s="23" t="n">
        <v>1200</v>
      </c>
    </row>
    <row r="9" customFormat="false" ht="15" hidden="false" customHeight="false" outlineLevel="0" collapsed="false">
      <c r="A9" s="25" t="n">
        <v>46073</v>
      </c>
      <c r="B9" s="22" t="s">
        <v>105</v>
      </c>
      <c r="C9" s="22" t="s">
        <v>28</v>
      </c>
      <c r="D9" s="22" t="s">
        <v>106</v>
      </c>
      <c r="E9" s="22" t="s">
        <v>107</v>
      </c>
      <c r="F9" s="22" t="s">
        <v>108</v>
      </c>
      <c r="G9" s="23" t="n">
        <v>900</v>
      </c>
    </row>
    <row r="10" customFormat="false" ht="15" hidden="false" customHeight="false" outlineLevel="0" collapsed="false">
      <c r="A10" s="25" t="n">
        <v>46082</v>
      </c>
      <c r="B10" s="22" t="s">
        <v>89</v>
      </c>
      <c r="C10" s="22" t="s">
        <v>29</v>
      </c>
      <c r="D10" s="22" t="s">
        <v>109</v>
      </c>
      <c r="E10" s="22" t="s">
        <v>91</v>
      </c>
      <c r="F10" s="22" t="s">
        <v>92</v>
      </c>
      <c r="G10" s="23" t="n">
        <v>8900</v>
      </c>
    </row>
    <row r="11" customFormat="false" ht="15" hidden="false" customHeight="false" outlineLevel="0" collapsed="false">
      <c r="A11" s="25" t="n">
        <v>46091</v>
      </c>
      <c r="B11" s="22" t="s">
        <v>93</v>
      </c>
      <c r="C11" s="22" t="s">
        <v>29</v>
      </c>
      <c r="D11" s="22" t="s">
        <v>110</v>
      </c>
      <c r="E11" s="22" t="s">
        <v>111</v>
      </c>
      <c r="F11" s="22" t="s">
        <v>96</v>
      </c>
      <c r="G11" s="23" t="n">
        <v>5400</v>
      </c>
    </row>
    <row r="12" customFormat="false" ht="15" hidden="false" customHeight="false" outlineLevel="0" collapsed="false">
      <c r="A12" s="25" t="n">
        <v>46096</v>
      </c>
      <c r="B12" s="22" t="s">
        <v>89</v>
      </c>
      <c r="C12" s="22" t="s">
        <v>30</v>
      </c>
      <c r="D12" s="22" t="s">
        <v>112</v>
      </c>
      <c r="E12" s="22" t="s">
        <v>113</v>
      </c>
      <c r="F12" s="22" t="s">
        <v>88</v>
      </c>
      <c r="G12" s="23" t="n">
        <v>9800</v>
      </c>
    </row>
    <row r="13" customFormat="false" ht="15" hidden="false" customHeight="false" outlineLevel="0" collapsed="false">
      <c r="A13" s="25" t="n">
        <v>46101</v>
      </c>
      <c r="B13" s="22" t="s">
        <v>114</v>
      </c>
      <c r="C13" s="22" t="s">
        <v>31</v>
      </c>
      <c r="D13" s="22" t="s">
        <v>115</v>
      </c>
      <c r="E13" s="22" t="s">
        <v>116</v>
      </c>
      <c r="F13" s="22" t="s">
        <v>92</v>
      </c>
      <c r="G13" s="23" t="n">
        <v>3000</v>
      </c>
    </row>
    <row r="14" customFormat="false" ht="15" hidden="false" customHeight="false" outlineLevel="0" collapsed="false">
      <c r="A14" s="25" t="n">
        <v>46103</v>
      </c>
      <c r="B14" s="22" t="s">
        <v>114</v>
      </c>
      <c r="C14" s="22" t="s">
        <v>32</v>
      </c>
      <c r="D14" s="22" t="s">
        <v>117</v>
      </c>
      <c r="E14" s="22" t="s">
        <v>118</v>
      </c>
      <c r="F14" s="22" t="s">
        <v>92</v>
      </c>
      <c r="G14" s="23" t="n">
        <v>2500</v>
      </c>
    </row>
    <row r="15" customFormat="false" ht="15" hidden="false" customHeight="false" outlineLevel="0" collapsed="false">
      <c r="A15" s="27"/>
      <c r="B15" s="28"/>
      <c r="C15" s="28"/>
      <c r="D15" s="28"/>
      <c r="E15" s="28"/>
      <c r="F15" s="28"/>
      <c r="G15" s="31"/>
    </row>
    <row r="16" customFormat="false" ht="15" hidden="false" customHeight="false" outlineLevel="0" collapsed="false">
      <c r="A16" s="27"/>
      <c r="B16" s="28"/>
      <c r="C16" s="28"/>
      <c r="D16" s="28"/>
      <c r="E16" s="28"/>
      <c r="F16" s="28"/>
      <c r="G16" s="31"/>
    </row>
    <row r="17" customFormat="false" ht="15" hidden="false" customHeight="false" outlineLevel="0" collapsed="false">
      <c r="A17" s="27"/>
      <c r="B17" s="28"/>
      <c r="C17" s="28"/>
      <c r="D17" s="28"/>
      <c r="E17" s="28"/>
      <c r="F17" s="28"/>
      <c r="G17" s="31"/>
    </row>
    <row r="18" customFormat="false" ht="15" hidden="false" customHeight="false" outlineLevel="0" collapsed="false">
      <c r="A18" s="27"/>
      <c r="B18" s="28"/>
      <c r="C18" s="28"/>
      <c r="D18" s="28"/>
      <c r="E18" s="28"/>
      <c r="F18" s="28"/>
      <c r="G18" s="31"/>
    </row>
    <row r="19" customFormat="false" ht="15" hidden="false" customHeight="false" outlineLevel="0" collapsed="false">
      <c r="A19" s="27"/>
      <c r="B19" s="28"/>
      <c r="C19" s="28"/>
      <c r="D19" s="28"/>
      <c r="E19" s="28"/>
      <c r="F19" s="28"/>
      <c r="G19" s="31"/>
    </row>
    <row r="20" customFormat="false" ht="15" hidden="false" customHeight="false" outlineLevel="0" collapsed="false">
      <c r="A20" s="27"/>
      <c r="B20" s="28"/>
      <c r="C20" s="28"/>
      <c r="D20" s="28"/>
      <c r="E20" s="28"/>
      <c r="F20" s="28"/>
      <c r="G20" s="31"/>
    </row>
    <row r="21" customFormat="false" ht="15" hidden="false" customHeight="false" outlineLevel="0" collapsed="false">
      <c r="A21" s="27"/>
      <c r="B21" s="28"/>
      <c r="C21" s="28"/>
      <c r="D21" s="28"/>
      <c r="E21" s="28"/>
      <c r="F21" s="28"/>
      <c r="G21" s="31"/>
    </row>
    <row r="22" customFormat="false" ht="15" hidden="false" customHeight="false" outlineLevel="0" collapsed="false">
      <c r="A22" s="27"/>
      <c r="B22" s="28"/>
      <c r="C22" s="28"/>
      <c r="D22" s="28"/>
      <c r="E22" s="28"/>
      <c r="F22" s="28"/>
      <c r="G22" s="31"/>
    </row>
    <row r="23" customFormat="false" ht="15" hidden="false" customHeight="false" outlineLevel="0" collapsed="false">
      <c r="A23" s="27"/>
      <c r="B23" s="28"/>
      <c r="C23" s="28"/>
      <c r="D23" s="28"/>
      <c r="E23" s="28"/>
      <c r="F23" s="28"/>
      <c r="G23" s="31"/>
    </row>
    <row r="24" customFormat="false" ht="15" hidden="false" customHeight="false" outlineLevel="0" collapsed="false">
      <c r="A24" s="27"/>
      <c r="B24" s="28"/>
      <c r="C24" s="28"/>
      <c r="D24" s="28"/>
      <c r="E24" s="28"/>
      <c r="F24" s="28"/>
      <c r="G24" s="31"/>
    </row>
    <row r="25" customFormat="false" ht="15" hidden="false" customHeight="false" outlineLevel="0" collapsed="false">
      <c r="A25" s="27"/>
      <c r="B25" s="28"/>
      <c r="C25" s="28"/>
      <c r="D25" s="28"/>
      <c r="E25" s="28"/>
      <c r="F25" s="28"/>
      <c r="G25" s="31"/>
    </row>
    <row r="26" customFormat="false" ht="15" hidden="false" customHeight="false" outlineLevel="0" collapsed="false">
      <c r="A26" s="27"/>
      <c r="B26" s="28"/>
      <c r="C26" s="28"/>
      <c r="D26" s="28"/>
      <c r="E26" s="28"/>
      <c r="F26" s="28"/>
      <c r="G26" s="31"/>
    </row>
    <row r="27" customFormat="false" ht="15" hidden="false" customHeight="false" outlineLevel="0" collapsed="false">
      <c r="A27" s="27"/>
      <c r="B27" s="28"/>
      <c r="C27" s="28"/>
      <c r="D27" s="28"/>
      <c r="E27" s="28"/>
      <c r="F27" s="28"/>
      <c r="G27" s="31"/>
    </row>
    <row r="28" customFormat="false" ht="15" hidden="false" customHeight="false" outlineLevel="0" collapsed="false">
      <c r="A28" s="27"/>
      <c r="B28" s="28"/>
      <c r="C28" s="28"/>
      <c r="D28" s="28"/>
      <c r="E28" s="28"/>
      <c r="F28" s="28"/>
      <c r="G28" s="31"/>
    </row>
    <row r="29" customFormat="false" ht="15" hidden="false" customHeight="false" outlineLevel="0" collapsed="false">
      <c r="A29" s="27"/>
      <c r="B29" s="28"/>
      <c r="C29" s="28"/>
      <c r="D29" s="28"/>
      <c r="E29" s="28"/>
      <c r="F29" s="28"/>
      <c r="G29" s="31"/>
    </row>
    <row r="30" customFormat="false" ht="15" hidden="false" customHeight="false" outlineLevel="0" collapsed="false">
      <c r="A30" s="27"/>
      <c r="B30" s="28"/>
      <c r="C30" s="28"/>
      <c r="D30" s="28"/>
      <c r="E30" s="28"/>
      <c r="F30" s="28"/>
      <c r="G30" s="31"/>
    </row>
    <row r="31" customFormat="false" ht="15" hidden="false" customHeight="false" outlineLevel="0" collapsed="false">
      <c r="A31" s="27"/>
      <c r="B31" s="28"/>
      <c r="C31" s="28"/>
      <c r="D31" s="28"/>
      <c r="E31" s="28"/>
      <c r="F31" s="28"/>
      <c r="G31" s="31"/>
    </row>
    <row r="32" customFormat="false" ht="15" hidden="false" customHeight="false" outlineLevel="0" collapsed="false">
      <c r="A32" s="27"/>
      <c r="B32" s="28"/>
      <c r="C32" s="28"/>
      <c r="D32" s="28"/>
      <c r="E32" s="28"/>
      <c r="F32" s="28"/>
      <c r="G32" s="31"/>
    </row>
    <row r="33" customFormat="false" ht="15" hidden="false" customHeight="false" outlineLevel="0" collapsed="false">
      <c r="A33" s="27"/>
      <c r="B33" s="28"/>
      <c r="C33" s="28"/>
      <c r="D33" s="28"/>
      <c r="E33" s="28"/>
      <c r="F33" s="28"/>
      <c r="G33" s="31"/>
    </row>
    <row r="34" customFormat="false" ht="15" hidden="false" customHeight="false" outlineLevel="0" collapsed="false">
      <c r="A34" s="27"/>
      <c r="B34" s="28"/>
      <c r="C34" s="28"/>
      <c r="D34" s="28"/>
      <c r="E34" s="28"/>
      <c r="F34" s="28"/>
      <c r="G34" s="31"/>
    </row>
    <row r="35" customFormat="false" ht="15" hidden="false" customHeight="false" outlineLevel="0" collapsed="false">
      <c r="A35" s="27"/>
      <c r="B35" s="28"/>
      <c r="C35" s="28"/>
      <c r="D35" s="28"/>
      <c r="E35" s="28"/>
      <c r="F35" s="28"/>
      <c r="G35" s="31"/>
    </row>
    <row r="36" customFormat="false" ht="15" hidden="false" customHeight="false" outlineLevel="0" collapsed="false">
      <c r="A36" s="27"/>
      <c r="B36" s="28"/>
      <c r="C36" s="28"/>
      <c r="D36" s="28"/>
      <c r="E36" s="28"/>
      <c r="F36" s="28"/>
      <c r="G36" s="31"/>
    </row>
    <row r="37" customFormat="false" ht="15" hidden="false" customHeight="false" outlineLevel="0" collapsed="false">
      <c r="A37" s="27"/>
      <c r="B37" s="28"/>
      <c r="C37" s="28"/>
      <c r="D37" s="28"/>
      <c r="E37" s="28"/>
      <c r="F37" s="28"/>
      <c r="G37" s="31"/>
    </row>
    <row r="38" customFormat="false" ht="15" hidden="false" customHeight="false" outlineLevel="0" collapsed="false">
      <c r="A38" s="27"/>
      <c r="B38" s="28"/>
      <c r="C38" s="28"/>
      <c r="D38" s="28"/>
      <c r="E38" s="28"/>
      <c r="F38" s="28"/>
      <c r="G38" s="31"/>
    </row>
    <row r="39" customFormat="false" ht="15" hidden="false" customHeight="false" outlineLevel="0" collapsed="false">
      <c r="A39" s="27"/>
      <c r="B39" s="28"/>
      <c r="C39" s="28"/>
      <c r="D39" s="28"/>
      <c r="E39" s="28"/>
      <c r="F39" s="28"/>
      <c r="G39" s="31"/>
    </row>
    <row r="40" customFormat="false" ht="15" hidden="false" customHeight="false" outlineLevel="0" collapsed="false">
      <c r="A40" s="27"/>
      <c r="B40" s="28"/>
      <c r="C40" s="28"/>
      <c r="D40" s="28"/>
      <c r="E40" s="28"/>
      <c r="F40" s="28"/>
      <c r="G40" s="31"/>
    </row>
    <row r="41" customFormat="false" ht="15" hidden="false" customHeight="false" outlineLevel="0" collapsed="false">
      <c r="A41" s="18" t="s">
        <v>37</v>
      </c>
      <c r="B41" s="18"/>
      <c r="C41" s="18"/>
      <c r="D41" s="18"/>
      <c r="E41" s="18"/>
      <c r="F41" s="18"/>
      <c r="G41" s="19" t="n">
        <f aca="false">SUM(G2:G40)</f>
        <v>69200</v>
      </c>
    </row>
  </sheetData>
  <dataValidations count="3">
    <dataValidation allowBlank="true" errorStyle="stop" operator="between" showDropDown="false" showErrorMessage="false" showInputMessage="false" sqref="B2:B40" type="list">
      <formula1>'Listas de Apoio'!$B$2:$B$7</formula1>
      <formula2>0</formula2>
    </dataValidation>
    <dataValidation allowBlank="true" errorStyle="stop" operator="between" showDropDown="false" showErrorMessage="false" showInputMessage="false" sqref="C2:C40" type="list">
      <formula1>'Listas de Apoio'!$A$2:$A$11</formula1>
      <formula2>0</formula2>
    </dataValidation>
    <dataValidation allowBlank="true" errorStyle="stop" operator="between" showDropDown="false" showErrorMessage="false" showInputMessage="false" sqref="F2:F40" type="list">
      <formula1>'Listas de Apoio'!$C$2:$C$7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6"/>
  </cols>
  <sheetData>
    <row r="1" customFormat="false" ht="21.75" hidden="false" customHeight="true" outlineLevel="0" collapsed="false">
      <c r="A1" s="13" t="s">
        <v>119</v>
      </c>
      <c r="B1" s="13" t="s">
        <v>120</v>
      </c>
      <c r="C1" s="13" t="s">
        <v>121</v>
      </c>
    </row>
    <row r="2" customFormat="false" ht="15" hidden="false" customHeight="false" outlineLevel="0" collapsed="false">
      <c r="A2" s="32" t="s">
        <v>27</v>
      </c>
      <c r="B2" s="32" t="s">
        <v>89</v>
      </c>
      <c r="C2" s="32" t="s">
        <v>122</v>
      </c>
    </row>
    <row r="3" customFormat="false" ht="15" hidden="false" customHeight="false" outlineLevel="0" collapsed="false">
      <c r="A3" s="32" t="s">
        <v>28</v>
      </c>
      <c r="B3" s="32" t="s">
        <v>93</v>
      </c>
      <c r="C3" s="32" t="s">
        <v>92</v>
      </c>
    </row>
    <row r="4" customFormat="false" ht="15" hidden="false" customHeight="false" outlineLevel="0" collapsed="false">
      <c r="A4" s="32" t="s">
        <v>29</v>
      </c>
      <c r="B4" s="32" t="s">
        <v>105</v>
      </c>
      <c r="C4" s="32" t="s">
        <v>88</v>
      </c>
    </row>
    <row r="5" customFormat="false" ht="15" hidden="false" customHeight="false" outlineLevel="0" collapsed="false">
      <c r="A5" s="32" t="s">
        <v>30</v>
      </c>
      <c r="B5" s="32" t="s">
        <v>114</v>
      </c>
      <c r="C5" s="32" t="s">
        <v>108</v>
      </c>
    </row>
    <row r="6" customFormat="false" ht="15" hidden="false" customHeight="false" outlineLevel="0" collapsed="false">
      <c r="A6" s="32" t="s">
        <v>31</v>
      </c>
      <c r="B6" s="32" t="s">
        <v>85</v>
      </c>
      <c r="C6" s="32" t="s">
        <v>96</v>
      </c>
    </row>
    <row r="7" customFormat="false" ht="15" hidden="false" customHeight="false" outlineLevel="0" collapsed="false">
      <c r="A7" s="32" t="s">
        <v>32</v>
      </c>
      <c r="B7" s="32" t="s">
        <v>102</v>
      </c>
      <c r="C7" s="32" t="s">
        <v>123</v>
      </c>
    </row>
    <row r="8" customFormat="false" ht="15" hidden="false" customHeight="false" outlineLevel="0" collapsed="false">
      <c r="A8" s="32" t="s">
        <v>33</v>
      </c>
    </row>
    <row r="9" customFormat="false" ht="15" hidden="false" customHeight="false" outlineLevel="0" collapsed="false">
      <c r="A9" s="32" t="s">
        <v>34</v>
      </c>
    </row>
    <row r="10" customFormat="false" ht="15" hidden="false" customHeight="false" outlineLevel="0" collapsed="false">
      <c r="A10" s="32" t="s">
        <v>35</v>
      </c>
    </row>
    <row r="11" customFormat="false" ht="15" hidden="false" customHeight="false" outlineLevel="0" collapsed="false">
      <c r="A11" s="32" t="s">
        <v>36</v>
      </c>
    </row>
    <row r="13" customFormat="false" ht="15" hidden="false" customHeight="true" outlineLevel="0" collapsed="false">
      <c r="A13" s="30" t="s">
        <v>124</v>
      </c>
      <c r="B13" s="30"/>
      <c r="C13" s="30"/>
      <c r="D13" s="30"/>
      <c r="E13" s="30"/>
      <c r="F13" s="30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</row>
  </sheetData>
  <mergeCells count="1">
    <mergeCell ref="A13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2026-09-08T16:46:40Z</dcterms:created>
  <dc:creator>openpyxl</dc:creator>
  <dc:description/>
  <dc:language>en-US</dc:language>
  <cp:lastModifiedBy/>
  <dcterms:modified xsi:type="dcterms:W3CDTF">2026-09-08T16:46:49Z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